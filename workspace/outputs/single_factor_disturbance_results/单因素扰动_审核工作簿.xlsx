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bb6f88849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趋势表" sheetId="1" r:id="R5d1988d56f774638"/>
    <x:sheet xmlns:r="http://schemas.openxmlformats.org/officeDocument/2006/relationships" name="特征汇总" sheetId="2" r:id="R34892e3af55441a1"/>
    <x:sheet xmlns:r="http://schemas.openxmlformats.org/officeDocument/2006/relationships" name="固定0p9MHz" sheetId="3" r:id="Ra8be448fc0794a9b"/>
    <x:sheet xmlns:r="http://schemas.openxmlformats.org/officeDocument/2006/relationships" name="参数登记" sheetId="4" r:id="R909f261f972d4145"/>
    <x:sheet xmlns:r="http://schemas.openxmlformats.org/officeDocument/2006/relationships" name="交叉验证" sheetId="5" r:id="Raf6597d230e24ed0"/>
    <x:sheet xmlns:r="http://schemas.openxmlformats.org/officeDocument/2006/relationships" name="说明" sheetId="6" r:id="Re3b24c847da64da7"/>
    <x:sheet xmlns:r="http://schemas.openxmlformats.org/officeDocument/2006/relationships" name="趋势复核" sheetId="7" r:id="R37cc7da40d40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00"/>
    <x:numFmt numFmtId="202" formatCode="0"/>
    <x:numFmt numFmtId="203" formatCode="0.000"/>
    <x:numFmt numFmtId="204" formatCode="0.00%"/>
    <x:numFmt numFmtId="205" formatCode="0.000000E+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7FB"/>
      </x:patternFill>
    </x:fill>
    <x:fill>
      <x:patternFill patternType="solid">
        <x:fgColor rgb="FFE2F0D9"/>
      </x:patternFill>
    </x:fill>
  </x:fills>
  <x:borders count="26">
    <x:border/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bottom style="thin">
        <x:color rgb="FFE6EEF3"/>
      </x:bottom>
    </x:border>
    <x:border>
      <x:top style="thin">
        <x:color rgb="FFE6EEF3"/>
      </x:top>
      <x:bottom style="thin">
        <x:color rgb="FFE6EEF3"/>
      </x:bottom>
    </x:border>
    <x:border>
      <x:top style="thin">
        <x:color rgb="FFE6EEF3"/>
      </x:top>
    </x:border>
    <x:border>
      <x:bottom style="thin">
        <x:color rgb="FFE6EEF3"/>
      </x:bottom>
    </x:border>
    <x:border>
      <x:top style="thin">
        <x:color rgb="FFE6EEF3"/>
      </x:top>
      <x:bottom style="thin">
        <x:color rgb="FFE6EEF3"/>
      </x:bottom>
    </x:border>
    <x:border>
      <x:top style="thin">
        <x:color rgb="FFE6EEF3"/>
      </x:top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3" fillId="2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4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4" borderId="1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202" fontId="3" fillId="2" borderId="14" xfId="0" applyNumberFormat="1" applyFont="1" applyFill="1" applyBorder="1" applyAlignment="1">
      <x:alignment horizontal="center" vertical="center" wrapText="1"/>
    </x:xf>
    <x:xf numFmtId="202" fontId="3" fillId="2" borderId="17" xfId="0" applyNumberFormat="1" applyFont="1" applyFill="1" applyBorder="1" applyAlignment="1">
      <x:alignment horizontal="center" vertical="center" wrapText="1"/>
    </x:xf>
    <x:xf numFmtId="201" fontId="3" fillId="2" borderId="14" xfId="0" applyNumberFormat="1" applyFont="1" applyFill="1" applyBorder="1" applyAlignment="1">
      <x:alignment horizontal="center" vertical="center" wrapText="1"/>
    </x:xf>
    <x:xf numFmtId="201" fontId="3" fillId="2" borderId="17" xfId="0" applyNumberFormat="1" applyFont="1" applyFill="1" applyBorder="1" applyAlignment="1">
      <x:alignment horizontal="center" vertical="center" wrapText="1"/>
    </x:xf>
    <x:xf numFmtId="203" fontId="3" fillId="2" borderId="14" xfId="0" applyNumberFormat="1" applyFont="1" applyFill="1" applyBorder="1" applyAlignment="1">
      <x:alignment horizontal="center" vertical="center" wrapText="1"/>
    </x:xf>
    <x:xf numFmtId="203" fontId="3" fillId="2" borderId="17" xfId="0" applyNumberFormat="1" applyFont="1" applyFill="1" applyBorder="1" applyAlignment="1">
      <x:alignment horizontal="center" vertical="center" wrapText="1"/>
    </x:xf>
    <x:xf numFmtId="204" fontId="0" fillId="0" borderId="15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204" fontId="0" fillId="0" borderId="18" xfId="0" applyNumberFormat="1" applyFont="1" applyFill="1" applyBorder="1" applyAlignment="1">
      <x:alignment wrapText="1"/>
    </x:xf>
    <x:xf numFmtId="204" fontId="0" fillId="0" borderId="19" xfId="0" applyNumberFormat="1" applyFont="1" applyFill="1" applyBorder="1" applyAlignment="1">
      <x:alignment wrapText="1"/>
    </x:xf>
    <x:xf numFmtId="205" fontId="0" fillId="0" borderId="15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8" xfId="0" applyNumberFormat="1" applyFont="1" applyFill="1" applyBorder="1" applyAlignment="1">
      <x:alignment wrapText="1"/>
    </x:xf>
    <x:xf numFmtId="205" fontId="0" fillId="0" borderId="19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202" fontId="0" fillId="0" borderId="15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8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5" borderId="15" xfId="0" applyNumberFormat="1" applyFont="1" applyFill="1" applyBorder="1" applyAlignment="1">
      <x:alignment wrapText="1"/>
    </x:xf>
    <x:xf numFmtId="205" fontId="0" fillId="5" borderId="15" xfId="0" applyNumberFormat="1" applyFont="1" applyFill="1" applyBorder="1" applyAlignment="1">
      <x:alignment wrapText="1"/>
    </x:xf>
    <x:xf numFmtId="202" fontId="0" fillId="5" borderId="15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205" fontId="0" fillId="5" borderId="18" xfId="0" applyNumberFormat="1" applyFont="1" applyFill="1" applyBorder="1" applyAlignment="1">
      <x:alignment wrapText="1"/>
    </x:xf>
    <x:xf numFmtId="202" fontId="0" fillId="5" borderId="18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2" fillId="6" borderId="8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9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1" fontId="0" fillId="0" borderId="21" xfId="0" applyNumberFormat="1" applyFont="1" applyFill="1" applyBorder="1"/>
    <x:xf numFmtId="201" fontId="0" fillId="0" borderId="22" xfId="0" applyNumberFormat="1" applyFont="1" applyFill="1" applyBorder="1"/>
    <x:xf numFmtId="201" fontId="0" fillId="0" borderId="24" xfId="0" applyNumberFormat="1" applyFont="1" applyFill="1" applyBorder="1"/>
    <x:xf numFmtId="201" fontId="0" fillId="0" borderId="25" xfId="0" applyNumberFormat="1" applyFont="1" applyFill="1" applyBorder="1"/>
    <x:xf numFmtId="203" fontId="0" fillId="0" borderId="21" xfId="0" applyNumberFormat="1" applyFont="1" applyFill="1" applyBorder="1"/>
    <x:xf numFmtId="203" fontId="0" fillId="0" borderId="22" xfId="0" applyNumberFormat="1" applyFont="1" applyFill="1" applyBorder="1"/>
    <x:xf numFmtId="203" fontId="0" fillId="0" borderId="24" xfId="0" applyNumberFormat="1" applyFont="1" applyFill="1" applyBorder="1"/>
    <x:xf numFmtId="203" fontId="0" fillId="0" borderId="25" xfId="0" applyNumberFormat="1" applyFont="1" applyFill="1" applyBorder="1"/>
    <x:xf numFmtId="204" fontId="0" fillId="0" borderId="21" xfId="0" applyNumberFormat="1" applyFont="1" applyFill="1" applyBorder="1"/>
    <x:xf numFmtId="204" fontId="0" fillId="0" borderId="22" xfId="0" applyNumberFormat="1" applyFont="1" applyFill="1" applyBorder="1"/>
    <x:xf numFmtId="204" fontId="0" fillId="0" borderId="24" xfId="0" applyNumberFormat="1" applyFont="1" applyFill="1" applyBorder="1"/>
    <x:xf numFmtId="204" fontId="0" fillId="0" borderId="25" xfId="0" applyNumberFormat="1" applyFont="1" applyFill="1" applyBorder="1"/>
    <x:xf numFmtId="204" fontId="0" fillId="0" borderId="5" xfId="0" applyNumberFormat="1" applyFont="1" applyFill="1" applyBorder="1"/>
    <x:xf numFmtId="204" fontId="0" fillId="0" borderId="7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da7cf8212432f" /><Relationship Type="http://schemas.openxmlformats.org/officeDocument/2006/relationships/theme" Target="/xl/theme/theme1.xml" Id="Ra7e4d1d41bda47ec" /><Relationship Type="http://schemas.openxmlformats.org/officeDocument/2006/relationships/sharedStrings" Target="/xl/sharedStrings.xml" Id="R22eba1833d6a42ba" /><Relationship Type="http://schemas.openxmlformats.org/officeDocument/2006/relationships/worksheet" Target="/xl/worksheets/sheet1.xml" Id="R5d1988d56f774638" /><Relationship Type="http://schemas.openxmlformats.org/officeDocument/2006/relationships/worksheet" Target="/xl/worksheets/sheet2.xml" Id="R34892e3af55441a1" /><Relationship Type="http://schemas.openxmlformats.org/officeDocument/2006/relationships/worksheet" Target="/xl/worksheets/sheet3.xml" Id="Ra8be448fc0794a9b" /><Relationship Type="http://schemas.openxmlformats.org/officeDocument/2006/relationships/worksheet" Target="/xl/worksheets/sheet4.xml" Id="R909f261f972d4145" /><Relationship Type="http://schemas.openxmlformats.org/officeDocument/2006/relationships/worksheet" Target="/xl/worksheets/sheet5.xml" Id="Raf6597d230e24ed0" /><Relationship Type="http://schemas.openxmlformats.org/officeDocument/2006/relationships/worksheet" Target="/xl/worksheets/sheet6.xml" Id="Re3b24c847da64da7" /><Relationship Type="http://schemas.openxmlformats.org/officeDocument/2006/relationships/worksheet" Target="/xl/worksheets/sheet7.xml" Id="R37cc7da40d40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50" hidden="0" customWidth="1"/>
    <x:col min="6" max="6" width="50" hidden="0" customWidth="1"/>
    <x:col min="7" max="7" width="50" hidden="0" customWidth="1"/>
    <x:col min="8" max="8" width="24" hidden="0" customWidth="1"/>
    <x:col min="9" max="9" width="50" hidden="0" customWidth="1"/>
  </x:cols>
  <x:sheetData>
    <x:row r="1" ht="42" customHeight="1">
      <x:c r="A1" s="62" t="str">
        <x:v>﻿参数变化</x:v>
      </x:c>
      <x:c r="B1" s="62" t="str">
        <x:v>主要影响峰位</x:v>
      </x:c>
      <x:c r="C1" s="62" t="str">
        <x:v>主要影响峰高</x:v>
      </x:c>
      <x:c r="D1" s="62" t="str">
        <x:v>主要影响峰宽</x:v>
      </x:c>
      <x:c r="E1" s="62" t="str">
        <x:v>峰值频率路径_MHz</x:v>
      </x:c>
      <x:c r="F1" s="62" t="str">
        <x:v>峰高路径_mW</x:v>
      </x:c>
      <x:c r="G1" s="62" t="str">
        <x:v>FWHM路径_kHz</x:v>
      </x:c>
      <x:c r="H1" s="62" t="str">
        <x:v>固定0p9MHz功率最大变化_pct</x:v>
      </x:c>
      <x:c r="I1" s="62" t="str">
        <x:v>解释边界</x:v>
      </x:c>
    </x:row>
    <x:row r="2" ht="46" customHeight="1">
      <x:c r="A2" s="68" t="str">
        <x:v>C0</x:v>
      </x:c>
      <x:c r="B2" s="68" t="str">
        <x:v>较小（最大0.20 kHz）</x:v>
      </x:c>
      <x:c r="C2" s="68" t="str">
        <x:v>很小（最大0.01%）</x:v>
      </x:c>
      <x:c r="D2" s="68" t="str">
        <x:v>很小（最大0.12%）</x:v>
      </x:c>
      <x:c r="E2" s="68" t="str">
        <x:v>0.9002 → 0.9002 → 0.9003 → 0.9003</x:v>
      </x:c>
      <x:c r="F2" s="68" t="str">
        <x:v>125.01 → 125.01 → 125.00 → 125.00</x:v>
      </x:c>
      <x:c r="G2" s="68" t="str">
        <x:v>32.23 → 32.22 → 32.21 → 32.20</x:v>
      </x:c>
      <x:c r="H2" s="74" t="str">
        <x:v>0.037494305981256026</x:v>
      </x:c>
      <x:c r="I2" s="68" t="str">
        <x:v>仅对当前虚拟BVD与固定低通L型匹配成立</x:v>
      </x:c>
    </x:row>
    <x:row r="3" ht="46" customHeight="1">
      <x:c r="A3" s="68" t="str">
        <x:v>Rm</x:v>
      </x:c>
      <x:c r="B3" s="68" t="str">
        <x:v>很小（最大0.05 kHz）</x:v>
      </x:c>
      <x:c r="C3" s="68" t="str">
        <x:v>明显（最大6.46%）</x:v>
      </x:c>
      <x:c r="D3" s="68" t="str">
        <x:v>很明显（最大17.72%）</x:v>
      </x:c>
      <x:c r="E3" s="68" t="str">
        <x:v>0.9002 → 0.9002 → 0.9002 → 0.9002</x:v>
      </x:c>
      <x:c r="F3" s="68" t="str">
        <x:v>125.01 → 123.28 → 120.82 → 116.94</x:v>
      </x:c>
      <x:c r="G3" s="68" t="str">
        <x:v>32.23 → 34.06 → 35.79 → 37.95</x:v>
      </x:c>
      <x:c r="H3" s="74" t="str">
        <x:v>6.457400743784991</x:v>
      </x:c>
      <x:c r="I3" s="68" t="str">
        <x:v>仅对当前虚拟BVD与固定低通L型匹配成立</x:v>
      </x:c>
    </x:row>
    <x:row r="4" ht="46" customHeight="1">
      <x:c r="A4" s="68" t="str">
        <x:v>fs</x:v>
      </x:c>
      <x:c r="B4" s="68" t="str">
        <x:v>很明显（最大47.55 kHz）</x:v>
      </x:c>
      <x:c r="C4" s="68" t="str">
        <x:v>很明显（最大25.35%）</x:v>
      </x:c>
      <x:c r="D4" s="68" t="str">
        <x:v>很明显（最大32.20%）</x:v>
      </x:c>
      <x:c r="E4" s="68" t="str">
        <x:v>0.9002 → 0.8895 → 0.8705 → 0.8526</x:v>
      </x:c>
      <x:c r="F4" s="68" t="str">
        <x:v>125.01 → 124.00 → 113.13 → 93.32</x:v>
      </x:c>
      <x:c r="G4" s="68" t="str">
        <x:v>32.23 → 31.43 → 26.25 → 21.86</x:v>
      </x:c>
      <x:c r="H4" s="74" t="str">
        <x:v>89.55453137679895</x:v>
      </x:c>
      <x:c r="I4" s="68" t="str">
        <x:v>仅对当前虚拟BVD与固定低通L型匹配成立</x:v>
      </x:c>
    </x:row>
    <x:row r="5" ht="46" customHeight="1">
      <x:c r="A5" s="68" t="str">
        <x:v>Rs</x:v>
      </x:c>
      <x:c r="B5" s="68" t="str">
        <x:v>很小（最大0.15 kHz）</x:v>
      </x:c>
      <x:c r="C5" s="68" t="str">
        <x:v>很明显（最大16.34%）</x:v>
      </x:c>
      <x:c r="D5" s="68" t="str">
        <x:v>明显（最大7.86%）</x:v>
      </x:c>
      <x:c r="E5" s="68" t="str">
        <x:v>0.9002 → 0.9002 → 0.9002 → 0.9003</x:v>
      </x:c>
      <x:c r="F5" s="68" t="str">
        <x:v>125.01 → 119.37 → 114.11 → 104.59</x:v>
      </x:c>
      <x:c r="G5" s="68" t="str">
        <x:v>32.23 → 31.54 → 30.88 → 29.70</x:v>
      </x:c>
      <x:c r="H5" s="74" t="str">
        <x:v>16.35610005986159</x:v>
      </x:c>
      <x:c r="I5" s="68" t="str">
        <x:v>仅对当前虚拟BVD与固定低通L型匹配成立</x:v>
      </x:c>
    </x:row>
    <x:row r="6" ht="46" customHeight="1">
      <x:c r="A6" s="68" t="str">
        <x:v>Ls</x:v>
      </x:c>
      <x:c r="B6" s="68" t="str">
        <x:v>明显（最大3.00 kHz）</x:v>
      </x:c>
      <x:c r="C6" s="68" t="str">
        <x:v>很明显（最大25.54%）</x:v>
      </x:c>
      <x:c r="D6" s="68" t="str">
        <x:v>很明显（最大31.02%）</x:v>
      </x:c>
      <x:c r="E6" s="68" t="str">
        <x:v>0.9002 → 0.9020 → 0.9032 → 0.9031</x:v>
      </x:c>
      <x:c r="F6" s="68" t="str">
        <x:v>125.01 → 124.10 → 117.52 → 93.08</x:v>
      </x:c>
      <x:c r="G6" s="68" t="str">
        <x:v>32.23 → 31.73 → 28.42 → 22.23</x:v>
      </x:c>
      <x:c r="H6" s="74" t="str">
        <x:v>30.89808921692947</x:v>
      </x:c>
      <x:c r="I6" s="68" t="str">
        <x:v>仅对当前虚拟BVD与固定低通L型匹配成立</x:v>
      </x:c>
    </x:row>
    <x:row r="7" ht="46" customHeight="1">
      <x:c r="A7" s="68" t="str">
        <x:v>Cp</x:v>
      </x:c>
      <x:c r="B7" s="68" t="str">
        <x:v>明显（最大2.85 kHz）</x:v>
      </x:c>
      <x:c r="C7" s="68" t="str">
        <x:v>很明显（最大25.08%）</x:v>
      </x:c>
      <x:c r="D7" s="68" t="str">
        <x:v>很明显（最大32.60%）</x:v>
      </x:c>
      <x:c r="E7" s="68" t="str">
        <x:v>0.9002 → 0.8984 → 0.8973 → 0.8973</x:v>
      </x:c>
      <x:c r="F7" s="68" t="str">
        <x:v>125.01 → 124.23 → 117.76 → 93.65</x:v>
      </x:c>
      <x:c r="G7" s="68" t="str">
        <x:v>32.23 → 31.75 → 28.02 → 21.73</x:v>
      </x:c>
      <x:c r="H7" s="74" t="str">
        <x:v>29.411085193900988</x:v>
      </x:c>
      <x:c r="I7" s="68" t="str">
        <x:v>仅对当前虚拟BVD与固定低通L型匹配成立</x:v>
      </x:c>
    </x:row>
    <x:row r="8" ht="46" customHeight="1">
      <x:c r="A8" s="68" t="str">
        <x:v>电感Q</x:v>
      </x:c>
      <x:c r="B8" s="68" t="str">
        <x:v>较小（最大0.25 kHz）</x:v>
      </x:c>
      <x:c r="C8" s="68" t="str">
        <x:v>很明显（最大37.32%）</x:v>
      </x:c>
      <x:c r="D8" s="68" t="str">
        <x:v>很明显（最大17.74%）</x:v>
      </x:c>
      <x:c r="E8" s="68" t="str">
        <x:v>0.9002 → 0.9002 → 0.9004</x:v>
      </x:c>
      <x:c r="F8" s="68" t="str">
        <x:v>125.01 → 110.05 → 78.35</x:v>
      </x:c>
      <x:c r="G8" s="68" t="str">
        <x:v>32.23 → 30.38 → 26.52</x:v>
      </x:c>
      <x:c r="H8" s="74" t="str">
        <x:v>37.36417094285574</x:v>
      </x:c>
      <x:c r="I8" s="68" t="str">
        <x:v>仅对当前虚拟BVD与固定低通L型匹配成立</x:v>
      </x:c>
    </x:row>
    <x:row r="9" ht="46" customHeight="1">
      <x:c r="A9" s="72" t="str">
        <x:v>源/匹配网络整体</x:v>
      </x:c>
      <x:c r="B9" s="72" t="str">
        <x:v>明显（最大3.00 kHz）</x:v>
      </x:c>
      <x:c r="C9" s="72" t="str">
        <x:v>很明显（最大37.32%）</x:v>
      </x:c>
      <x:c r="D9" s="72" t="str">
        <x:v>很明显（最大32.60%）</x:v>
      </x:c>
      <x:c r="E9" s="72" t="str">
        <x:v>汇总Rs、Ls、Cp与Q单因素的最大影响</x:v>
      </x:c>
      <x:c r="F9" s="72" t="str">
        <x:v>见四个独立参数行</x:v>
      </x:c>
      <x:c r="G9" s="72" t="str">
        <x:v>见四个独立参数行</x:v>
      </x:c>
      <x:c r="H9" s="75" t="str">
        <x:v>37.36417094285574</x:v>
      </x:c>
      <x:c r="I9" s="72" t="str">
        <x:v>整体行是单因素结果汇总，不是组合扰动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42" customHeight="1">
      <x:c r="A1" s="62" t="str">
        <x:v>﻿case_id</x:v>
      </x:c>
      <x:c r="B1" s="62" t="str">
        <x:v>扰动参数</x:v>
      </x:c>
      <x:c r="C1" s="62" t="str">
        <x:v>扰动等级</x:v>
      </x:c>
      <x:c r="D1" s="82" t="str">
        <x:v>功率峰值频率_Hz</x:v>
      </x:c>
      <x:c r="E1" s="84" t="str">
        <x:v>功率峰值_W</x:v>
      </x:c>
      <x:c r="F1" s="86" t="str">
        <x:v>功率半高全宽FWHM_Hz</x:v>
      </x:c>
      <x:c r="G1" s="86" t="str">
        <x:v>FWHM下限_Hz</x:v>
      </x:c>
      <x:c r="H1" s="86" t="str">
        <x:v>FWHM上限_Hz</x:v>
      </x:c>
      <x:c r="I1" s="86" t="str">
        <x:v>功率95pct峰宽_Hz</x:v>
      </x:c>
      <x:c r="J1" s="86" t="str">
        <x:v>95pct下限_Hz</x:v>
      </x:c>
      <x:c r="K1" s="86" t="str">
        <x:v>95pct上限_Hz</x:v>
      </x:c>
      <x:c r="L1" s="86" t="str">
        <x:v>输入阻抗最低点频率_Hz</x:v>
      </x:c>
      <x:c r="M1" s="86" t="str">
        <x:v>输入阻抗最低值_ohm</x:v>
      </x:c>
      <x:c r="N1" s="86" t="str">
        <x:v>输入阻抗最高点频率_Hz</x:v>
      </x:c>
      <x:c r="O1" s="86" t="str">
        <x:v>输入阻抗最高值_ohm</x:v>
      </x:c>
      <x:c r="P1" s="86" t="str">
        <x:v>相位零点或最小绝对相位频率_Hz</x:v>
      </x:c>
      <x:c r="Q1" s="86" t="str">
        <x:v>存在相位过零</x:v>
      </x:c>
      <x:c r="R1" s="86" t="str">
        <x:v>最小反射代理频率_Hz</x:v>
      </x:c>
      <x:c r="S1" s="62" t="str">
        <x:v>最小反射代理</x:v>
      </x:c>
      <x:c r="T1" s="62" t="str">
        <x:v>固定0p9MHz功率_W</x:v>
      </x:c>
      <x:c r="U1" s="62" t="str">
        <x:v>固定0p9MHz相位_deg</x:v>
      </x:c>
      <x:c r="V1" s="62" t="str">
        <x:v>固定0p9MHz反射代理</x:v>
      </x:c>
    </x:row>
    <x:row r="2">
      <x:c r="A2" s="68" t="str">
        <x:v>CASE_000_BASELINE</x:v>
      </x:c>
      <x:c r="B2" s="68" t="str">
        <x:v>基准</x:v>
      </x:c>
      <x:c r="C2" s="68" t="str">
        <x:v>基准</x:v>
      </x:c>
      <x:c r="D2" s="78" t="str">
        <x:v>900150.0</x:v>
      </x:c>
      <x:c r="E2" s="78" t="str">
        <x:v>0.1250082303655244</x:v>
      </x:c>
      <x:c r="F2" s="78" t="str">
        <x:v>32234.565512597794</x:v>
      </x:c>
      <x:c r="G2" s="78" t="str">
        <x:v>884319.0115361194</x:v>
      </x:c>
      <x:c r="H2" s="78" t="str">
        <x:v>916553.5770487172</x:v>
      </x:c>
      <x:c r="I2" s="78" t="str">
        <x:v>8327.992677567061</x:v>
      </x:c>
      <x:c r="J2" s="78" t="str">
        <x:v>896032.7962432468</x:v>
      </x:c>
      <x:c r="K2" s="78" t="str">
        <x:v>904360.7889208138</x:v>
      </x:c>
      <x:c r="L2" s="78" t="str">
        <x:v>917850.0</x:v>
      </x:c>
      <x:c r="M2" s="78" t="str">
        <x:v>16.661053406914096</x:v>
      </x:c>
      <x:c r="N2" s="78" t="str">
        <x:v>800000.0</x:v>
      </x:c>
      <x:c r="O2" s="78" t="str">
        <x:v>165.99213191183193</x:v>
      </x:c>
      <x:c r="P2" s="78" t="str">
        <x:v>899997.1776223842</x:v>
      </x:c>
      <x:c r="Q2" s="78" t="str">
        <x:v>1</x:v>
      </x:c>
      <x:c r="R2" s="78" t="str">
        <x:v>899550.0</x:v>
      </x:c>
      <x:c r="S2" s="78" t="str">
        <x:v>0.06441279791150928</x:v>
      </x:c>
      <x:c r="T2" s="78" t="str">
        <x:v>0.12499766359518713</x:v>
      </x:c>
      <x:c r="U2" s="78" t="str">
        <x:v>-0.013197456049733935</x:v>
      </x:c>
      <x:c r="V2" s="78" t="str">
        <x:v>0.06590459218821872</x:v>
      </x:c>
    </x:row>
    <x:row r="3">
      <x:c r="A3" s="68" t="str">
        <x:v>CASE_110_C0_P10</x:v>
      </x:c>
      <x:c r="B3" s="68" t="str">
        <x:v>C0</x:v>
      </x:c>
      <x:c r="C3" s="68" t="str">
        <x:v>+10%</x:v>
      </x:c>
      <x:c r="D3" s="78" t="str">
        <x:v>900250.0</x:v>
      </x:c>
      <x:c r="E3" s="78" t="str">
        <x:v>0.1250051993739338</x:v>
      </x:c>
      <x:c r="F3" s="78" t="str">
        <x:v>32222.985855095438</x:v>
      </x:c>
      <x:c r="G3" s="78" t="str">
        <x:v>884311.3218039692</x:v>
      </x:c>
      <x:c r="H3" s="78" t="str">
        <x:v>916534.3076590647</x:v>
      </x:c>
      <x:c r="I3" s="78" t="str">
        <x:v>8327.461999704246</x:v>
      </x:c>
      <x:c r="J3" s="78" t="str">
        <x:v>896084.4286179248</x:v>
      </x:c>
      <x:c r="K3" s="78" t="str">
        <x:v>904411.890617629</x:v>
      </x:c>
      <x:c r="L3" s="78" t="str">
        <x:v>917700.0</x:v>
      </x:c>
      <x:c r="M3" s="78" t="str">
        <x:v>16.803417760627216</x:v>
      </x:c>
      <x:c r="N3" s="78" t="str">
        <x:v>800000.0</x:v>
      </x:c>
      <x:c r="O3" s="78" t="str">
        <x:v>165.5189814092928</x:v>
      </x:c>
      <x:c r="P3" s="78" t="str">
        <x:v>900087.1035766226</x:v>
      </x:c>
      <x:c r="Q3" s="78" t="str">
        <x:v>1</x:v>
      </x:c>
      <x:c r="R3" s="78" t="str">
        <x:v>899750.0</x:v>
      </x:c>
      <x:c r="S3" s="78" t="str">
        <x:v>0.06492743113874355</x:v>
      </x:c>
      <x:c r="T3" s="78" t="str">
        <x:v>0.12498596602392019</x:v>
      </x:c>
      <x:c r="U3" s="78" t="str">
        <x:v>0.40862611907871593</x:v>
      </x:c>
      <x:c r="V3" s="78" t="str">
        <x:v>0.06549242193530161</x:v>
      </x:c>
    </x:row>
    <x:row r="4">
      <x:c r="A4" s="68" t="str">
        <x:v>CASE_120_C0_P20</x:v>
      </x:c>
      <x:c r="B4" s="68" t="str">
        <x:v>C0</x:v>
      </x:c>
      <x:c r="C4" s="68" t="str">
        <x:v>+20%</x:v>
      </x:c>
      <x:c r="D4" s="78" t="str">
        <x:v>900300.0</x:v>
      </x:c>
      <x:c r="E4" s="78" t="str">
        <x:v>0.12500093725850875</x:v>
      </x:c>
      <x:c r="F4" s="78" t="str">
        <x:v>32209.89765419811</x:v>
      </x:c>
      <x:c r="G4" s="78" t="str">
        <x:v>884304.3634763944</x:v>
      </x:c>
      <x:c r="H4" s="78" t="str">
        <x:v>916514.2611305926</x:v>
      </x:c>
      <x:c r="I4" s="78" t="str">
        <x:v>8325.288696447155</x:v>
      </x:c>
      <x:c r="J4" s="78" t="str">
        <x:v>896136.7559659597</x:v>
      </x:c>
      <x:c r="K4" s="78" t="str">
        <x:v>904462.0446624069</x:v>
      </x:c>
      <x:c r="L4" s="78" t="str">
        <x:v>917550.0</x:v>
      </x:c>
      <x:c r="M4" s="78" t="str">
        <x:v>16.947746446737067</x:v>
      </x:c>
      <x:c r="N4" s="78" t="str">
        <x:v>800000.0</x:v>
      </x:c>
      <x:c r="O4" s="78" t="str">
        <x:v>165.04639849333012</x:v>
      </x:c>
      <x:c r="P4" s="78" t="str">
        <x:v>900176.7663520179</x:v>
      </x:c>
      <x:c r="Q4" s="78" t="str">
        <x:v>1</x:v>
      </x:c>
      <x:c r="R4" s="78" t="str">
        <x:v>899900.0</x:v>
      </x:c>
      <x:c r="S4" s="78" t="str">
        <x:v>0.06523778253394918</x:v>
      </x:c>
      <x:c r="T4" s="78" t="str">
        <x:v>0.12497034270682719</x:v>
      </x:c>
      <x:c r="U4" s="78" t="str">
        <x:v>0.8307899109610317</x:v>
      </x:c>
      <x:c r="V4" s="78" t="str">
        <x:v>0.06531705605491006</x:v>
      </x:c>
    </x:row>
    <x:row r="5">
      <x:c r="A5" s="68" t="str">
        <x:v>CASE_130_C0_P30</x:v>
      </x:c>
      <x:c r="B5" s="68" t="str">
        <x:v>C0</x:v>
      </x:c>
      <x:c r="C5" s="68" t="str">
        <x:v>+30%</x:v>
      </x:c>
      <x:c r="D5" s="78" t="str">
        <x:v>900350.0</x:v>
      </x:c>
      <x:c r="E5" s="78" t="str">
        <x:v>0.12499523070065313</x:v>
      </x:c>
      <x:c r="F5" s="78" t="str">
        <x:v>32195.360951983137</x:v>
      </x:c>
      <x:c r="G5" s="78" t="str">
        <x:v>884298.122607588</x:v>
      </x:c>
      <x:c r="H5" s="78" t="str">
        <x:v>916493.4835595711</x:v>
      </x:c>
      <x:c r="I5" s="78" t="str">
        <x:v>8321.61006456439</x:v>
      </x:c>
      <x:c r="J5" s="78" t="str">
        <x:v>896189.6775741142</x:v>
      </x:c>
      <x:c r="K5" s="78" t="str">
        <x:v>904511.2876386786</x:v>
      </x:c>
      <x:c r="L5" s="78" t="str">
        <x:v>917450.0</x:v>
      </x:c>
      <x:c r="M5" s="78" t="str">
        <x:v>17.093947804888998</x:v>
      </x:c>
      <x:c r="N5" s="78" t="str">
        <x:v>800000.0</x:v>
      </x:c>
      <x:c r="O5" s="78" t="str">
        <x:v>164.5743821657217</x:v>
      </x:c>
      <x:c r="P5" s="78" t="str">
        <x:v>900266.2574486738</x:v>
      </x:c>
      <x:c r="Q5" s="78" t="str">
        <x:v>1</x:v>
      </x:c>
      <x:c r="R5" s="78" t="str">
        <x:v>900050.0</x:v>
      </x:c>
      <x:c r="S5" s="78" t="str">
        <x:v>0.06534643279728274</x:v>
      </x:c>
      <x:c r="T5" s="78" t="str">
        <x:v>0.12495079658872933</x:v>
      </x:c>
      <x:c r="U5" s="78" t="str">
        <x:v>1.2532476334140195</x:v>
      </x:c>
      <x:c r="V5" s="78" t="str">
        <x:v>0.06538032709597474</x:v>
      </x:c>
    </x:row>
    <x:row r="6">
      <x:c r="A6" s="68" t="str">
        <x:v>CASE_210_RM_P15</x:v>
      </x:c>
      <x:c r="B6" s="68" t="str">
        <x:v>Rm</x:v>
      </x:c>
      <x:c r="C6" s="68" t="str">
        <x:v>+15%</x:v>
      </x:c>
      <x:c r="D6" s="78" t="str">
        <x:v>900200.0</x:v>
      </x:c>
      <x:c r="E6" s="78" t="str">
        <x:v>0.12327528137414241</x:v>
      </x:c>
      <x:c r="F6" s="78" t="str">
        <x:v>34062.39866863238</x:v>
      </x:c>
      <x:c r="G6" s="78" t="str">
        <x:v>883426.3384679931</x:v>
      </x:c>
      <x:c r="H6" s="78" t="str">
        <x:v>917488.7371366255</x:v>
      </x:c>
      <x:c r="I6" s="78" t="str">
        <x:v>8882.249926571734</x:v>
      </x:c>
      <x:c r="J6" s="78" t="str">
        <x:v>895771.915305754</x:v>
      </x:c>
      <x:c r="K6" s="78" t="str">
        <x:v>904654.1652323258</x:v>
      </x:c>
      <x:c r="L6" s="78" t="str">
        <x:v>917800.0</x:v>
      </x:c>
      <x:c r="M6" s="78" t="str">
        <x:v>17.725054240345163</x:v>
      </x:c>
      <x:c r="N6" s="78" t="str">
        <x:v>800000.0</x:v>
      </x:c>
      <x:c r="O6" s="78" t="str">
        <x:v>166.00280259951285</x:v>
      </x:c>
      <x:c r="P6" s="78" t="str">
        <x:v>899720.9809641243</x:v>
      </x:c>
      <x:c r="Q6" s="78" t="str">
        <x:v>1</x:v>
      </x:c>
      <x:c r="R6" s="78" t="str">
        <x:v>899700.0</x:v>
      </x:c>
      <x:c r="S6" s="78" t="str">
        <x:v>0.003983551401823105</x:v>
      </x:c>
      <x:c r="T6" s="78" t="str">
        <x:v>0.12326449233963556</x:v>
      </x:c>
      <x:c r="U6" s="78" t="str">
        <x:v>-0.9893359892194621</x:v>
      </x:c>
      <x:c r="V6" s="78" t="str">
        <x:v>0.010460451118528249</x:v>
      </x:c>
    </x:row>
    <x:row r="7">
      <x:c r="A7" s="68" t="str">
        <x:v>CASE_220_RM_P30</x:v>
      </x:c>
      <x:c r="B7" s="68" t="str">
        <x:v>Rm</x:v>
      </x:c>
      <x:c r="C7" s="68" t="str">
        <x:v>+30%</x:v>
      </x:c>
      <x:c r="D7" s="78" t="str">
        <x:v>900200.0</x:v>
      </x:c>
      <x:c r="E7" s="78" t="str">
        <x:v>0.12081718054315095</x:v>
      </x:c>
      <x:c r="F7" s="78" t="str">
        <x:v>35789.790337874554</x:v>
      </x:c>
      <x:c r="G7" s="78" t="str">
        <x:v>882581.4364435428</x:v>
      </x:c>
      <x:c r="H7" s="78" t="str">
        <x:v>918371.2267814174</x:v>
      </x:c>
      <x:c r="I7" s="78" t="str">
        <x:v>9410.012491085217</x:v>
      </x:c>
      <x:c r="J7" s="78" t="str">
        <x:v>895525.0215195202</x:v>
      </x:c>
      <x:c r="K7" s="78" t="str">
        <x:v>904935.0340106054</x:v>
      </x:c>
      <x:c r="L7" s="78" t="str">
        <x:v>917700.0</x:v>
      </x:c>
      <x:c r="M7" s="78" t="str">
        <x:v>18.67963401826123</x:v>
      </x:c>
      <x:c r="N7" s="78" t="str">
        <x:v>800000.0</x:v>
      </x:c>
      <x:c r="O7" s="78" t="str">
        <x:v>166.0146046820894</x:v>
      </x:c>
      <x:c r="P7" s="78" t="str">
        <x:v>899303.4141596378</x:v>
      </x:c>
      <x:c r="Q7" s="78" t="str">
        <x:v>1</x:v>
      </x:c>
      <x:c r="R7" s="78" t="str">
        <x:v>899800.0</x:v>
      </x:c>
      <x:c r="S7" s="78" t="str">
        <x:v>0.04815042399165132</x:v>
      </x:c>
      <x:c r="T7" s="78" t="str">
        <x:v>0.12080605347154211</x:v>
      </x:c>
      <x:c r="U7" s="78" t="str">
        <x:v>-1.8276700895142282</x:v>
      </x:c>
      <x:c r="V7" s="78" t="str">
        <x:v>0.0485197505441792</x:v>
      </x:c>
    </x:row>
    <x:row r="8">
      <x:c r="A8" s="68" t="str">
        <x:v>CASE_230_RM_P50</x:v>
      </x:c>
      <x:c r="B8" s="68" t="str">
        <x:v>Rm</x:v>
      </x:c>
      <x:c r="C8" s="68" t="str">
        <x:v>+50%</x:v>
      </x:c>
      <x:c r="D8" s="78" t="str">
        <x:v>900200.0</x:v>
      </x:c>
      <x:c r="E8" s="78" t="str">
        <x:v>0.11693752215416464</x:v>
      </x:c>
      <x:c r="F8" s="78" t="str">
        <x:v>37948.127182067605</x:v>
      </x:c>
      <x:c r="G8" s="78" t="str">
        <x:v>881523.7540703925</x:v>
      </x:c>
      <x:c r="H8" s="78" t="str">
        <x:v>919471.8812524601</x:v>
      </x:c>
      <x:c r="I8" s="78" t="str">
        <x:v>10072.121312034898</x:v>
      </x:c>
      <x:c r="J8" s="78" t="str">
        <x:v>895217.4031716634</x:v>
      </x:c>
      <x:c r="K8" s="78" t="str">
        <x:v>905289.5244836983</x:v>
      </x:c>
      <x:c r="L8" s="78" t="str">
        <x:v>917450.0</x:v>
      </x:c>
      <x:c r="M8" s="78" t="str">
        <x:v>19.78269195553727</x:v>
      </x:c>
      <x:c r="N8" s="78" t="str">
        <x:v>800000.0</x:v>
      </x:c>
      <x:c r="O8" s="78" t="str">
        <x:v>166.03207319463687</x:v>
      </x:c>
      <x:c r="P8" s="78" t="str">
        <x:v>898231.6624987939</x:v>
      </x:c>
      <x:c r="Q8" s="78" t="str">
        <x:v>1</x:v>
      </x:c>
      <x:c r="R8" s="78" t="str">
        <x:v>899950.0</x:v>
      </x:c>
      <x:c r="S8" s="78" t="str">
        <x:v>0.10740883619285381</x:v>
      </x:c>
      <x:c r="T8" s="78" t="str">
        <x:v>0.11692606353647765</x:v>
      </x:c>
      <x:c r="U8" s="78" t="str">
        <x:v>-2.7951799424139554</x:v>
      </x:c>
      <x:c r="V8" s="78" t="str">
        <x:v>0.10742128069154107</x:v>
      </x:c>
    </x:row>
    <x:row r="9">
      <x:c r="A9" s="68" t="str">
        <x:v>CASE_310_FS_M1</x:v>
      </x:c>
      <x:c r="B9" s="68" t="str">
        <x:v>fs</x:v>
      </x:c>
      <x:c r="C9" s="68" t="str">
        <x:v>-1%（仅改变Cm）</x:v>
      </x:c>
      <x:c r="D9" s="78" t="str">
        <x:v>889500.0</x:v>
      </x:c>
      <x:c r="E9" s="78" t="str">
        <x:v>0.12400163973374198</x:v>
      </x:c>
      <x:c r="F9" s="78" t="str">
        <x:v>31428.678060343373</x:v>
      </x:c>
      <x:c r="G9" s="78" t="str">
        <x:v>876041.4613201118</x:v>
      </x:c>
      <x:c r="H9" s="78" t="str">
        <x:v>907470.1393804551</x:v>
      </x:c>
      <x:c r="I9" s="78" t="str">
        <x:v>7564.649868502165</x:v>
      </x:c>
      <x:c r="J9" s="78" t="str">
        <x:v>885914.532545719</x:v>
      </x:c>
      <x:c r="K9" s="78" t="str">
        <x:v>893479.1824142211</x:v>
      </x:c>
      <x:c r="L9" s="78" t="str">
        <x:v>913950.0</x:v>
      </x:c>
      <x:c r="M9" s="78" t="str">
        <x:v>12.922962654518788</x:v>
      </x:c>
      <x:c r="N9" s="78" t="str">
        <x:v>800000.0</x:v>
      </x:c>
      <x:c r="O9" s="78" t="str">
        <x:v>165.5122947730721</x:v>
      </x:c>
      <x:c r="P9" s="78" t="str">
        <x:v>912697.8559601163</x:v>
      </x:c>
      <x:c r="Q9" s="78" t="str">
        <x:v>1</x:v>
      </x:c>
      <x:c r="R9" s="78" t="str">
        <x:v>887750.0</x:v>
      </x:c>
      <x:c r="S9" s="78" t="str">
        <x:v>0.029663056276716962</x:v>
      </x:c>
      <x:c r="T9" s="78" t="str">
        <x:v>0.09266555836330093</x:v>
      </x:c>
      <x:c r="U9" s="78" t="str">
        <x:v>-42.878303602695716</x:v>
      </x:c>
      <x:c r="V9" s="78" t="str">
        <x:v>0.40171896524105555</x:v>
      </x:c>
    </x:row>
    <x:row r="10">
      <x:c r="A10" s="68" t="str">
        <x:v>CASE_320_FS_M3</x:v>
      </x:c>
      <x:c r="B10" s="68" t="str">
        <x:v>fs</x:v>
      </x:c>
      <x:c r="C10" s="68" t="str">
        <x:v>-3%（仅改变Cm）</x:v>
      </x:c>
      <x:c r="D10" s="78" t="str">
        <x:v>870500.0</x:v>
      </x:c>
      <x:c r="E10" s="78" t="str">
        <x:v>0.11312862206892564</x:v>
      </x:c>
      <x:c r="F10" s="78" t="str">
        <x:v>26248.162862499477</x:v>
      </x:c>
      <x:c r="G10" s="78" t="str">
        <x:v>859903.1727018984</x:v>
      </x:c>
      <x:c r="H10" s="78" t="str">
        <x:v>886151.3355643979</x:v>
      </x:c>
      <x:c r="I10" s="78" t="str">
        <x:v>5714.178485732409</x:v>
      </x:c>
      <x:c r="J10" s="78" t="str">
        <x:v>867747.4266787743</x:v>
      </x:c>
      <x:c r="K10" s="78" t="str">
        <x:v>873461.6051645067</x:v>
      </x:c>
      <x:c r="L10" s="78" t="str">
        <x:v>909450.0</x:v>
      </x:c>
      <x:c r="M10" s="78" t="str">
        <x:v>9.472672549035721</x:v>
      </x:c>
      <x:c r="N10" s="78" t="str">
        <x:v>800000.0</x:v>
      </x:c>
      <x:c r="O10" s="78" t="str">
        <x:v>164.2115213926947</x:v>
      </x:c>
      <x:c r="P10" s="78" t="str">
        <x:v>909112.5502915225</x:v>
      </x:c>
      <x:c r="Q10" s="78" t="str">
        <x:v>1</x:v>
      </x:c>
      <x:c r="R10" s="78" t="str">
        <x:v>869400.0</x:v>
      </x:c>
      <x:c r="S10" s="78" t="str">
        <x:v>0.2920360003927633</x:v>
      </x:c>
      <x:c r="T10" s="78" t="str">
        <x:v>0.03020731699797772</x:v>
      </x:c>
      <x:c r="U10" s="78" t="str">
        <x:v>-57.19061795331538</x:v>
      </x:c>
      <x:c r="V10" s="78" t="str">
        <x:v>0.6654292490599785</x:v>
      </x:c>
    </x:row>
    <x:row r="11">
      <x:c r="A11" s="68" t="str">
        <x:v>CASE_330_FS_M5</x:v>
      </x:c>
      <x:c r="B11" s="68" t="str">
        <x:v>fs</x:v>
      </x:c>
      <x:c r="C11" s="68" t="str">
        <x:v>-5%（仅改变Cm）</x:v>
      </x:c>
      <x:c r="D11" s="78" t="str">
        <x:v>852600.0</x:v>
      </x:c>
      <x:c r="E11" s="78" t="str">
        <x:v>0.0933230548768369</x:v>
      </x:c>
      <x:c r="F11" s="78" t="str">
        <x:v>21855.051791903912</x:v>
      </x:c>
      <x:c r="G11" s="78" t="str">
        <x:v>843315.7737030225</x:v>
      </x:c>
      <x:c r="H11" s="78" t="str">
        <x:v>865170.8254949264</x:v>
      </x:c>
      <x:c r="I11" s="78" t="str">
        <x:v>4827.968079746934</x:v>
      </x:c>
      <x:c r="J11" s="78" t="str">
        <x:v>850276.2468299527</x:v>
      </x:c>
      <x:c r="K11" s="78" t="str">
        <x:v>855104.2149096996</x:v>
      </x:c>
      <x:c r="L11" s="78" t="str">
        <x:v>907300.0</x:v>
      </x:c>
      <x:c r="M11" s="78" t="str">
        <x:v>8.267990762010335</x:v>
      </x:c>
      <x:c r="N11" s="78" t="str">
        <x:v>800000.0</x:v>
      </x:c>
      <x:c r="O11" s="78" t="str">
        <x:v>162.11301284403353</x:v>
      </x:c>
      <x:c r="P11" s="78" t="str">
        <x:v>907166.7273186366</x:v>
      </x:c>
      <x:c r="Q11" s="78" t="str">
        <x:v>1</x:v>
      </x:c>
      <x:c r="R11" s="78" t="str">
        <x:v>851950.0</x:v>
      </x:c>
      <x:c r="S11" s="78" t="str">
        <x:v>0.502360452211774</x:v>
      </x:c>
      <x:c r="T11" s="78" t="str">
        <x:v>0.01305659173056967</x:v>
      </x:c>
      <x:c r="U11" s="78" t="str">
        <x:v>-55.147435107810495</x:v>
      </x:c>
      <x:c r="V11" s="78" t="str">
        <x:v>0.7190733270679236</x:v>
      </x:c>
    </x:row>
    <x:row r="12">
      <x:c r="A12" s="68" t="str">
        <x:v>CASE_410_RS_P5</x:v>
      </x:c>
      <x:c r="B12" s="68" t="str">
        <x:v>Rs</x:v>
      </x:c>
      <x:c r="C12" s="68" t="str">
        <x:v>+5%</x:v>
      </x:c>
      <x:c r="D12" s="78" t="str">
        <x:v>900200.0</x:v>
      </x:c>
      <x:c r="E12" s="78" t="str">
        <x:v>0.11937460529914067</x:v>
      </x:c>
      <x:c r="F12" s="78" t="str">
        <x:v>31535.186646115617</x:v>
      </x:c>
      <x:c r="G12" s="78" t="str">
        <x:v>884655.5358847943</x:v>
      </x:c>
      <x:c r="H12" s="78" t="str">
        <x:v>916190.7225309099</x:v>
      </x:c>
      <x:c r="I12" s="78" t="str">
        <x:v>8016.973475387902</x:v>
      </x:c>
      <x:c r="J12" s="78" t="str">
        <x:v>896219.595414138</x:v>
      </x:c>
      <x:c r="K12" s="78" t="str">
        <x:v>904236.568889526</x:v>
      </x:c>
      <x:c r="L12" s="78" t="str">
        <x:v>917850.0</x:v>
      </x:c>
      <x:c r="M12" s="78" t="str">
        <x:v>16.661053406914096</x:v>
      </x:c>
      <x:c r="N12" s="78" t="str">
        <x:v>800000.0</x:v>
      </x:c>
      <x:c r="O12" s="78" t="str">
        <x:v>165.9921319118322</x:v>
      </x:c>
      <x:c r="P12" s="78" t="str">
        <x:v>899997.1776223842</x:v>
      </x:c>
      <x:c r="Q12" s="78" t="str">
        <x:v>1</x:v>
      </x:c>
      <x:c r="R12" s="78" t="str">
        <x:v>899800.0</x:v>
      </x:c>
      <x:c r="S12" s="78" t="str">
        <x:v>0.04081349418095759</x:v>
      </x:c>
      <x:c r="T12" s="78" t="str">
        <x:v>0.11935798571279124</x:v>
      </x:c>
      <x:c r="U12" s="78" t="str">
        <x:v>-0.013197456049733934</x:v>
      </x:c>
      <x:c r="V12" s="78" t="str">
        <x:v>0.041581245697178824</x:v>
      </x:c>
    </x:row>
    <x:row r="13">
      <x:c r="A13" s="68" t="str">
        <x:v>CASE_420_RS_P10</x:v>
      </x:c>
      <x:c r="B13" s="68" t="str">
        <x:v>Rs</x:v>
      </x:c>
      <x:c r="C13" s="68" t="str">
        <x:v>+10%</x:v>
      </x:c>
      <x:c r="D13" s="78" t="str">
        <x:v>900250.0</x:v>
      </x:c>
      <x:c r="E13" s="78" t="str">
        <x:v>0.11411413216266868</x:v>
      </x:c>
      <x:c r="F13" s="78" t="str">
        <x:v>30881.221800503554</x:v>
      </x:c>
      <x:c r="G13" s="78" t="str">
        <x:v>884972.174150079</x:v>
      </x:c>
      <x:c r="H13" s="78" t="str">
        <x:v>915853.3959505826</x:v>
      </x:c>
      <x:c r="I13" s="78" t="str">
        <x:v>7746.870369746815</x:v>
      </x:c>
      <x:c r="J13" s="78" t="str">
        <x:v>896380.9892341045</x:v>
      </x:c>
      <x:c r="K13" s="78" t="str">
        <x:v>904127.8596038513</x:v>
      </x:c>
      <x:c r="L13" s="78" t="str">
        <x:v>917850.0</x:v>
      </x:c>
      <x:c r="M13" s="78" t="str">
        <x:v>16.661053406914093</x:v>
      </x:c>
      <x:c r="N13" s="78" t="str">
        <x:v>800000.0</x:v>
      </x:c>
      <x:c r="O13" s="78" t="str">
        <x:v>165.99213191183193</x:v>
      </x:c>
      <x:c r="P13" s="78" t="str">
        <x:v>899997.1776223842</x:v>
      </x:c>
      <x:c r="Q13" s="78" t="str">
        <x:v>1</x:v>
      </x:c>
      <x:c r="R13" s="78" t="str">
        <x:v>899900.0</x:v>
      </x:c>
      <x:c r="S13" s="78" t="str">
        <x:v>0.01805155747080824</x:v>
      </x:c>
      <x:c r="T13" s="78" t="str">
        <x:v>0.11409155105014687</x:v>
      </x:c>
      <x:c r="U13" s="78" t="str">
        <x:v>-0.013197456049733942</x:v>
      </x:c>
      <x:c r="V13" s="78" t="str">
        <x:v>0.018343371527633167</x:v>
      </x:c>
    </x:row>
    <x:row r="14">
      <x:c r="A14" s="68" t="str">
        <x:v>CASE_430_RS_P20</x:v>
      </x:c>
      <x:c r="B14" s="68" t="str">
        <x:v>Rs</x:v>
      </x:c>
      <x:c r="C14" s="68" t="str">
        <x:v>+20%</x:v>
      </x:c>
      <x:c r="D14" s="78" t="str">
        <x:v>900300.0</x:v>
      </x:c>
      <x:c r="E14" s="78" t="str">
        <x:v>0.10458665143664303</x:v>
      </x:c>
      <x:c r="F14" s="78" t="str">
        <x:v>29699.678896381287</x:v>
      </x:c>
      <x:c r="G14" s="78" t="str">
        <x:v>885548.8984934771</x:v>
      </x:c>
      <x:c r="H14" s="78" t="str">
        <x:v>915248.5773898584</x:v>
      </x:c>
      <x:c r="I14" s="78" t="str">
        <x:v>7300.283361827605</x:v>
      </x:c>
      <x:c r="J14" s="78" t="str">
        <x:v>896645.9229390556</x:v>
      </x:c>
      <x:c r="K14" s="78" t="str">
        <x:v>903946.2063008832</x:v>
      </x:c>
      <x:c r="L14" s="78" t="str">
        <x:v>917850.0</x:v>
      </x:c>
      <x:c r="M14" s="78" t="str">
        <x:v>16.661053406914093</x:v>
      </x:c>
      <x:c r="N14" s="78" t="str">
        <x:v>800000.0</x:v>
      </x:c>
      <x:c r="O14" s="78" t="str">
        <x:v>165.99213191183202</x:v>
      </x:c>
      <x:c r="P14" s="78" t="str">
        <x:v>899997.1776223842</x:v>
      </x:c>
      <x:c r="Q14" s="78" t="str">
        <x:v>1</x:v>
      </x:c>
      <x:c r="R14" s="78" t="str">
        <x:v>900100.0</x:v>
      </x:c>
      <x:c r="S14" s="78" t="str">
        <x:v>0.024885219227549778</x:v>
      </x:c>
      <x:c r="T14" s="78" t="str">
        <x:v>0.10455292066506915</x:v>
      </x:c>
      <x:c r="U14" s="78" t="str">
        <x:v>-0.013197456049733934</x:v>
      </x:c>
      <x:c r="V14" s="78" t="str">
        <x:v>0.025155576454298792</x:v>
      </x:c>
    </x:row>
    <x:row r="15">
      <x:c r="A15" s="68" t="str">
        <x:v>CASE_510_LS_P2</x:v>
      </x:c>
      <x:c r="B15" s="68" t="str">
        <x:v>Ls</x:v>
      </x:c>
      <x:c r="C15" s="68" t="str">
        <x:v>+2%</x:v>
      </x:c>
      <x:c r="D15" s="78" t="str">
        <x:v>901950.0</x:v>
      </x:c>
      <x:c r="E15" s="78" t="str">
        <x:v>0.1240999359622441</x:v>
      </x:c>
      <x:c r="F15" s="78" t="str">
        <x:v>31725.63078134181</x:v>
      </x:c>
      <x:c r="G15" s="78" t="str">
        <x:v>884170.1421214632</x:v>
      </x:c>
      <x:c r="H15" s="78" t="str">
        <x:v>915895.772902805</x:v>
      </x:c>
      <x:c r="I15" s="78" t="str">
        <x:v>7821.7404815553455</x:v>
      </x:c>
      <x:c r="J15" s="78" t="str">
        <x:v>897885.4426975665</x:v>
      </x:c>
      <x:c r="K15" s="78" t="str">
        <x:v>905707.1831791218</x:v>
      </x:c>
      <x:c r="L15" s="78" t="str">
        <x:v>880200.0</x:v>
      </x:c>
      <x:c r="M15" s="78" t="str">
        <x:v>14.463367964937131</x:v>
      </x:c>
      <x:c r="N15" s="78" t="str">
        <x:v>1000000.0</x:v>
      </x:c>
      <x:c r="O15" s="78" t="str">
        <x:v>158.15119670188807</x:v>
      </x:c>
      <x:c r="P15" s="78" t="str">
        <x:v>903469.4304152295</x:v>
      </x:c>
      <x:c r="Q15" s="78" t="str">
        <x:v>1</x:v>
      </x:c>
      <x:c r="R15" s="78" t="str">
        <x:v>903700.0</x:v>
      </x:c>
      <x:c r="S15" s="78" t="str">
        <x:v>0.006691015202897452</x:v>
      </x:c>
      <x:c r="T15" s="78" t="str">
        <x:v>0.12255057994668347</x:v>
      </x:c>
      <x:c r="U15" s="78" t="str">
        <x:v>13.842204243504924</x:v>
      </x:c>
      <x:c r="V15" s="78" t="str">
        <x:v>0.14636224876956574</x:v>
      </x:c>
    </x:row>
    <x:row r="16">
      <x:c r="A16" s="68" t="str">
        <x:v>CASE_520_LS_P5</x:v>
      </x:c>
      <x:c r="B16" s="68" t="str">
        <x:v>Ls</x:v>
      </x:c>
      <x:c r="C16" s="68" t="str">
        <x:v>+5%</x:v>
      </x:c>
      <x:c r="D16" s="78" t="str">
        <x:v>903150.0</x:v>
      </x:c>
      <x:c r="E16" s="78" t="str">
        <x:v>0.11751895435981392</x:v>
      </x:c>
      <x:c r="F16" s="78" t="str">
        <x:v>28420.314515518956</x:v>
      </x:c>
      <x:c r="G16" s="78" t="str">
        <x:v>885960.1761646877</x:v>
      </x:c>
      <x:c r="H16" s="78" t="str">
        <x:v>914380.4906802067</x:v>
      </x:c>
      <x:c r="I16" s="78" t="str">
        <x:v>6233.148169964086</x:v>
      </x:c>
      <x:c r="J16" s="78" t="str">
        <x:v>899855.954719662</x:v>
      </x:c>
      <x:c r="K16" s="78" t="str">
        <x:v>906089.102889626</x:v>
      </x:c>
      <x:c r="L16" s="78" t="str">
        <x:v>871600.0</x:v>
      </x:c>
      <x:c r="M16" s="78" t="str">
        <x:v>11.125886885939702</x:v>
      </x:c>
      <x:c r="N16" s="78" t="str">
        <x:v>1000000.0</x:v>
      </x:c>
      <x:c r="O16" s="78" t="str">
        <x:v>181.64816697687803</x:v>
      </x:c>
      <x:c r="P16" s="78" t="str">
        <x:v>872216.4101034737</x:v>
      </x:c>
      <x:c r="Q16" s="78" t="str">
        <x:v>1</x:v>
      </x:c>
      <x:c r="R16" s="78" t="str">
        <x:v>904500.0</x:v>
      </x:c>
      <x:c r="S16" s="78" t="str">
        <x:v>0.19507222012920308</x:v>
      </x:c>
      <x:c r="T16" s="78" t="str">
        <x:v>0.11210167806044384</x:v>
      </x:c>
      <x:c r="U16" s="78" t="str">
        <x:v>31.553449022057325</x:v>
      </x:c>
      <x:c r="V16" s="78" t="str">
        <x:v>0.318662504865511</x:v>
      </x:c>
    </x:row>
    <x:row r="17">
      <x:c r="A17" s="68" t="str">
        <x:v>CASE_530_LS_P10</x:v>
      </x:c>
      <x:c r="B17" s="68" t="str">
        <x:v>Ls</x:v>
      </x:c>
      <x:c r="C17" s="68" t="str">
        <x:v>+10%</x:v>
      </x:c>
      <x:c r="D17" s="78" t="str">
        <x:v>903100.0</x:v>
      </x:c>
      <x:c r="E17" s="78" t="str">
        <x:v>0.09307688309359917</x:v>
      </x:c>
      <x:c r="F17" s="78" t="str">
        <x:v>22234.99617386749</x:v>
      </x:c>
      <x:c r="G17" s="78" t="str">
        <x:v>890108.4468054512</x:v>
      </x:c>
      <x:c r="H17" s="78" t="str">
        <x:v>912343.4429793187</x:v>
      </x:c>
      <x:c r="I17" s="78" t="str">
        <x:v>4865.278526726877</x:v>
      </x:c>
      <x:c r="J17" s="78" t="str">
        <x:v>900566.8147683971</x:v>
      </x:c>
      <x:c r="K17" s="78" t="str">
        <x:v>905432.093295124</x:v>
      </x:c>
      <x:c r="L17" s="78" t="str">
        <x:v>854800.0</x:v>
      </x:c>
      <x:c r="M17" s="78" t="str">
        <x:v>9.317690707419654</x:v>
      </x:c>
      <x:c r="N17" s="78" t="str">
        <x:v>1000000.0</x:v>
      </x:c>
      <x:c r="O17" s="78" t="str">
        <x:v>220.81689605239646</x:v>
      </x:c>
      <x:c r="P17" s="78" t="str">
        <x:v>854957.5276870272</x:v>
      </x:c>
      <x:c r="Q17" s="78" t="str">
        <x:v>1</x:v>
      </x:c>
      <x:c r="R17" s="78" t="str">
        <x:v>903850.0</x:v>
      </x:c>
      <x:c r="S17" s="78" t="str">
        <x:v>0.4857326799028287</x:v>
      </x:c>
      <x:c r="T17" s="78" t="str">
        <x:v>0.08637577397846884</x:v>
      </x:c>
      <x:c r="U17" s="78" t="str">
        <x:v>50.68015330937691</x:v>
      </x:c>
      <x:c r="V17" s="78" t="str">
        <x:v>0.5508873314486479</x:v>
      </x:c>
    </x:row>
    <x:row r="18">
      <x:c r="A18" s="68" t="str">
        <x:v>CASE_610_CP_M2</x:v>
      </x:c>
      <x:c r="B18" s="68" t="str">
        <x:v>Cp</x:v>
      </x:c>
      <x:c r="C18" s="68" t="str">
        <x:v>-2%</x:v>
      </x:c>
      <x:c r="D18" s="78" t="str">
        <x:v>898450.0</x:v>
      </x:c>
      <x:c r="E18" s="78" t="str">
        <x:v>0.12422819636509666</x:v>
      </x:c>
      <x:c r="F18" s="78" t="str">
        <x:v>31749.590322379605</x:v>
      </x:c>
      <x:c r="G18" s="78" t="str">
        <x:v>884887.7016331013</x:v>
      </x:c>
      <x:c r="H18" s="78" t="str">
        <x:v>916637.2919554809</x:v>
      </x:c>
      <x:c r="I18" s="78" t="str">
        <x:v>7636.943900832441</x:v>
      </x:c>
      <x:c r="J18" s="78" t="str">
        <x:v>894810.0859347238</x:v>
      </x:c>
      <x:c r="K18" s="78" t="str">
        <x:v>902447.0298355563</x:v>
      </x:c>
      <x:c r="L18" s="78" t="str">
        <x:v>923200.0</x:v>
      </x:c>
      <x:c r="M18" s="78" t="str">
        <x:v>12.936480590564802</x:v>
      </x:c>
      <x:c r="N18" s="78" t="str">
        <x:v>800000.0</x:v>
      </x:c>
      <x:c r="O18" s="78" t="str">
        <x:v>181.96142403051107</x:v>
      </x:c>
      <x:c r="P18" s="78" t="str">
        <x:v>921929.0675333511</x:v>
      </x:c>
      <x:c r="Q18" s="78" t="str">
        <x:v>1</x:v>
      </x:c>
      <x:c r="R18" s="78" t="str">
        <x:v>896600.0</x:v>
      </x:c>
      <x:c r="S18" s="78" t="str">
        <x:v>0.023984367411614336</x:v>
      </x:c>
      <x:c r="T18" s="78" t="str">
        <x:v>0.12319817417034279</x:v>
      </x:c>
      <x:c r="U18" s="78" t="str">
        <x:v>-13.486354040617192</x:v>
      </x:c>
      <x:c r="V18" s="78" t="str">
        <x:v>0.15306630443648267</x:v>
      </x:c>
    </x:row>
    <x:row r="19">
      <x:c r="A19" s="68" t="str">
        <x:v>CASE_620_CP_M5</x:v>
      </x:c>
      <x:c r="B19" s="68" t="str">
        <x:v>Cp</x:v>
      </x:c>
      <x:c r="C19" s="68" t="str">
        <x:v>-5%</x:v>
      </x:c>
      <x:c r="D19" s="78" t="str">
        <x:v>897350.0</x:v>
      </x:c>
      <x:c r="E19" s="78" t="str">
        <x:v>0.11776105667296725</x:v>
      </x:c>
      <x:c r="F19" s="78" t="str">
        <x:v>28021.538957631798</x:v>
      </x:c>
      <x:c r="G19" s="78" t="str">
        <x:v>886197.5513346593</x:v>
      </x:c>
      <x:c r="H19" s="78" t="str">
        <x:v>914219.0902922911</x:v>
      </x:c>
      <x:c r="I19" s="78" t="str">
        <x:v>6099.493697420228</x:v>
      </x:c>
      <x:c r="J19" s="78" t="str">
        <x:v>894431.4164895178</x:v>
      </x:c>
      <x:c r="K19" s="78" t="str">
        <x:v>900530.910186938</x:v>
      </x:c>
      <x:c r="L19" s="78" t="str">
        <x:v>933750.0</x:v>
      </x:c>
      <x:c r="M19" s="78" t="str">
        <x:v>10.004155588015708</x:v>
      </x:c>
      <x:c r="N19" s="78" t="str">
        <x:v>800000.0</x:v>
      </x:c>
      <x:c r="O19" s="78" t="str">
        <x:v>207.164730125488</x:v>
      </x:c>
      <x:c r="P19" s="78" t="str">
        <x:v>933294.5741907067</x:v>
      </x:c>
      <x:c r="Q19" s="78" t="str">
        <x:v>1</x:v>
      </x:c>
      <x:c r="R19" s="78" t="str">
        <x:v>896050.0</x:v>
      </x:c>
      <x:c r="S19" s="78" t="str">
        <x:v>0.22389418017181809</x:v>
      </x:c>
      <x:c r="T19" s="78" t="str">
        <x:v>0.11353669720341839</x:v>
      </x:c>
      <x:c r="U19" s="78" t="str">
        <x:v>-30.330416525675314</x:v>
      </x:c>
      <x:c r="V19" s="78" t="str">
        <x:v>0.32621861714520384</x:v>
      </x:c>
    </x:row>
    <x:row r="20">
      <x:c r="A20" s="68" t="str">
        <x:v>CASE_630_CP_M10</x:v>
      </x:c>
      <x:c r="B20" s="68" t="str">
        <x:v>Cp</x:v>
      </x:c>
      <x:c r="C20" s="68" t="str">
        <x:v>-10%</x:v>
      </x:c>
      <x:c r="D20" s="78" t="str">
        <x:v>897300.0</x:v>
      </x:c>
      <x:c r="E20" s="78" t="str">
        <x:v>0.09365039070372984</x:v>
      </x:c>
      <x:c r="F20" s="78" t="str">
        <x:v>21726.68812669837</x:v>
      </x:c>
      <x:c r="G20" s="78" t="str">
        <x:v>888015.9136729997</x:v>
      </x:c>
      <x:c r="H20" s="78" t="str">
        <x:v>909742.6017996981</x:v>
      </x:c>
      <x:c r="I20" s="78" t="str">
        <x:v>4808.992874963791</x:v>
      </x:c>
      <x:c r="J20" s="78" t="str">
        <x:v>894985.2467575383</x:v>
      </x:c>
      <x:c r="K20" s="78" t="str">
        <x:v>899794.2396325021</x:v>
      </x:c>
      <x:c r="L20" s="78" t="str">
        <x:v>956000.0</x:v>
      </x:c>
      <x:c r="M20" s="78" t="str">
        <x:v>8.234965760723407</x:v>
      </x:c>
      <x:c r="N20" s="78" t="str">
        <x:v>800000.0</x:v>
      </x:c>
      <x:c r="O20" s="78" t="str">
        <x:v>252.86383418469342</x:v>
      </x:c>
      <x:c r="P20" s="78" t="str">
        <x:v>955854.6279078036</x:v>
      </x:c>
      <x:c r="Q20" s="78" t="str">
        <x:v>1</x:v>
      </x:c>
      <x:c r="R20" s="78" t="str">
        <x:v>896650.0</x:v>
      </x:c>
      <x:c r="S20" s="78" t="str">
        <x:v>0.506856646949007</x:v>
      </x:c>
      <x:c r="T20" s="78" t="str">
        <x:v>0.08823449426482088</x:v>
      </x:c>
      <x:c r="U20" s="78" t="str">
        <x:v>-48.27121130189148</x:v>
      </x:c>
      <x:c r="V20" s="78" t="str">
        <x:v>0.559920630244859</x:v>
      </x:c>
    </x:row>
    <x:row r="21">
      <x:c r="A21" s="68" t="str">
        <x:v>CASE_720_Q50</x:v>
      </x:c>
      <x:c r="B21" s="68" t="str">
        <x:v>电感Q</x:v>
      </x:c>
      <x:c r="C21" s="68" t="str">
        <x:v>Q=50</x:v>
      </x:c>
      <x:c r="D21" s="78" t="str">
        <x:v>900250.0</x:v>
      </x:c>
      <x:c r="E21" s="78" t="str">
        <x:v>0.11004981816321868</x:v>
      </x:c>
      <x:c r="F21" s="78" t="str">
        <x:v>30376.38584107964</x:v>
      </x:c>
      <x:c r="G21" s="78" t="str">
        <x:v>885217.8795344443</x:v>
      </x:c>
      <x:c r="H21" s="78" t="str">
        <x:v>915594.265375524</x:v>
      </x:c>
      <x:c r="I21" s="78" t="str">
        <x:v>7550.202424952295</x:v>
      </x:c>
      <x:c r="J21" s="78" t="str">
        <x:v>896497.9817014864</x:v>
      </x:c>
      <x:c r="K21" s="78" t="str">
        <x:v>904048.1841264387</x:v>
      </x:c>
      <x:c r="L21" s="78" t="str">
        <x:v>918600.0</x:v>
      </x:c>
      <x:c r="M21" s="78" t="str">
        <x:v>23.317832223345242</x:v>
      </x:c>
      <x:c r="N21" s="78" t="str">
        <x:v>800000.0</x:v>
      </x:c>
      <x:c r="O21" s="78" t="str">
        <x:v>166.45598671884107</x:v>
      </x:c>
      <x:c r="P21" s="78" t="str">
        <x:v>899997.1774160246</x:v>
      </x:c>
      <x:c r="Q21" s="78" t="str">
        <x:v>1</x:v>
      </x:c>
      <x:c r="R21" s="78" t="str">
        <x:v>897450.0</x:v>
      </x:c>
      <x:c r="S21" s="78" t="str">
        <x:v>0.11486449269219642</x:v>
      </x:c>
      <x:c r="T21" s="78" t="str">
        <x:v>0.11002248188445204</x:v>
      </x:c>
      <x:c r="U21" s="78" t="str">
        <x:v>-0.011745457382453058</x:v>
      </x:c>
      <x:c r="V21" s="78" t="str">
        <x:v>0.12364305159529367</x:v>
      </x:c>
    </x:row>
    <x:row r="22">
      <x:c r="A22" s="69" t="str">
        <x:v>CASE_730_Q20</x:v>
      </x:c>
      <x:c r="B22" s="69" t="str">
        <x:v>电感Q</x:v>
      </x:c>
      <x:c r="C22" s="69" t="str">
        <x:v>Q=20</x:v>
      </x:c>
      <x:c r="D22" s="79" t="str">
        <x:v>900400.0</x:v>
      </x:c>
      <x:c r="E22" s="79" t="str">
        <x:v>0.07835317671119589</x:v>
      </x:c>
      <x:c r="F22" s="79" t="str">
        <x:v>26517.27090703172</x:v>
      </x:c>
      <x:c r="G22" s="79" t="str">
        <x:v>887127.9235979822</x:v>
      </x:c>
      <x:c r="H22" s="79" t="str">
        <x:v>913645.1945050139</x:v>
      </x:c>
      <x:c r="I22" s="79" t="str">
        <x:v>6280.606029829825</x:v>
      </x:c>
      <x:c r="J22" s="79" t="str">
        <x:v>897239.8534275279</x:v>
      </x:c>
      <x:c r="K22" s="79" t="str">
        <x:v>903520.4594573578</x:v>
      </x:c>
      <x:c r="L22" s="79" t="str">
        <x:v>920450.0</x:v>
      </x:c>
      <x:c r="M22" s="79" t="str">
        <x:v>43.57421552737453</x:v>
      </x:c>
      <x:c r="N22" s="79" t="str">
        <x:v>800000.0</x:v>
      </x:c>
      <x:c r="O22" s="79" t="str">
        <x:v>169.60899025123157</x:v>
      </x:c>
      <x:c r="P22" s="79" t="str">
        <x:v>899997.1770008297</x:v>
      </x:c>
      <x:c r="Q22" s="79" t="str">
        <x:v>1</x:v>
      </x:c>
      <x:c r="R22" s="79" t="str">
        <x:v>887800.0</x:v>
      </x:c>
      <x:c r="S22" s="79" t="str">
        <x:v>0.004978907131112912</x:v>
      </x:c>
      <x:c r="T22" s="79" t="str">
        <x:v>0.07829332289490565</x:v>
      </x:c>
      <x:c r="U22" s="79" t="str">
        <x:v>-0.008830750608680831</x:v>
      </x:c>
      <x:c r="V22" s="79" t="str">
        <x:v>0.2607306617261718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18" hidden="0" customWidth="1"/>
  </x:cols>
  <x:sheetData>
    <x:row r="1" ht="42" customHeight="1">
      <x:c r="A1" s="62" t="str">
        <x:v>﻿case_id</x:v>
      </x:c>
      <x:c r="B1" s="62" t="str">
        <x:v>扰动参数</x:v>
      </x:c>
      <x:c r="C1" s="62" t="str">
        <x:v>扰动等级</x:v>
      </x:c>
      <x:c r="D1" s="62" t="str">
        <x:v>frequency_hz</x:v>
      </x:c>
      <x:c r="E1" s="62" t="str">
        <x:v>zin_real_ohm</x:v>
      </x:c>
      <x:c r="F1" s="62" t="str">
        <x:v>zin_imag_ohm</x:v>
      </x:c>
      <x:c r="G1" s="62" t="str">
        <x:v>zin_mag_ohm</x:v>
      </x:c>
      <x:c r="H1" s="62" t="str">
        <x:v>phase_deg</x:v>
      </x:c>
      <x:c r="I1" s="62" t="str">
        <x:v>active_power_w</x:v>
      </x:c>
      <x:c r="J1" s="62" t="str">
        <x:v>power_drop_ratio</x:v>
      </x:c>
      <x:c r="K1" s="62" t="str">
        <x:v>reflection_proxy</x:v>
      </x:c>
      <x:c r="L1" s="62" t="str">
        <x:v>transducer_vpp</x:v>
      </x:c>
      <x:c r="M1" s="62" t="str">
        <x:v>transducer_current_a_peak</x:v>
      </x:c>
      <x:c r="N1" s="62" t="str">
        <x:v>motional_current_a_peak</x:v>
      </x:c>
      <x:c r="O1" s="62" t="str">
        <x:v>source_current_a_peak</x:v>
      </x:c>
      <x:c r="P1" s="62" t="str">
        <x:v>matching_loss_w</x:v>
      </x:c>
      <x:c r="Q1" s="62" t="str">
        <x:v>current_limit_status</x:v>
      </x:c>
      <x:c r="R1" s="62" t="str">
        <x:v>voltage_hard_limit_triggered</x:v>
      </x:c>
    </x:row>
    <x:row r="2">
      <x:c r="A2" s="68" t="str">
        <x:v>CASE_000_BASELINE</x:v>
      </x:c>
      <x:c r="B2" s="68" t="str">
        <x:v>基准</x:v>
      </x:c>
      <x:c r="C2" s="68" t="str">
        <x:v>基准</x:v>
      </x:c>
      <x:c r="D2" s="78" t="str">
        <x:v>900000.0</x:v>
      </x:c>
      <x:c r="E2" s="78" t="str">
        <x:v>57.05543242911208</x:v>
      </x:c>
      <x:c r="F2" s="78" t="str">
        <x:v>-0.013142094960531626</x:v>
      </x:c>
      <x:c r="G2" s="78" t="str">
        <x:v>57.055433942680985</x:v>
      </x:c>
      <x:c r="H2" s="78" t="str">
        <x:v>-0.013197456049733935</x:v>
      </x:c>
      <x:c r="I2" s="78" t="str">
        <x:v>0.12499766359518713</x:v>
      </x:c>
      <x:c r="J2" s="88" t="str">
        <x:v>0.0</x:v>
      </x:c>
      <x:c r="K2" s="78" t="str">
        <x:v>0.06590459218821872</x:v>
      </x:c>
      <x:c r="L2" s="78" t="str">
        <x:v>99.99907057826545</x:v>
      </x:c>
      <x:c r="M2" s="78" t="str">
        <x:v>0.005017885245570733</x:v>
      </x:c>
      <x:c r="N2" s="78" t="str">
        <x:v>0.004999953021687745</x:v>
      </x:c>
      <x:c r="O2" s="78" t="str">
        <x:v>0.07070922739295056</x:v>
      </x:c>
      <x:c r="P2" s="78" t="str">
        <x:v>0.017632564791353077</x:v>
      </x:c>
      <x:c r="Q2" s="78" t="str">
        <x:v>高于5mA名义值但未触发软限</x:v>
      </x:c>
      <x:c r="R2" s="78" t="str">
        <x:v>0</x:v>
      </x:c>
    </x:row>
    <x:row r="3">
      <x:c r="A3" s="68" t="str">
        <x:v>CASE_110_C0_P10</x:v>
      </x:c>
      <x:c r="B3" s="68" t="str">
        <x:v>C0</x:v>
      </x:c>
      <x:c r="C3" s="68" t="str">
        <x:v>+10%</x:v>
      </x:c>
      <x:c r="D3" s="78" t="str">
        <x:v>900000.0</x:v>
      </x:c>
      <x:c r="E3" s="78" t="str">
        <x:v>56.9956552019853</x:v>
      </x:c>
      <x:c r="F3" s="78" t="str">
        <x:v>0.4064925630649831</x:v>
      </x:c>
      <x:c r="G3" s="78" t="str">
        <x:v>56.99710473442858</x:v>
      </x:c>
      <x:c r="H3" s="78" t="str">
        <x:v>0.40862611907871593</x:v>
      </x:c>
      <x:c r="I3" s="78" t="str">
        <x:v>0.12498596602392019</x:v>
      </x:c>
      <x:c r="J3" s="88" t="str">
        <x:v>9.358231930500782e-05</x:v>
      </x:c>
      <x:c r="K3" s="78" t="str">
        <x:v>0.06549242193530161</x:v>
      </x:c>
      <x:c r="L3" s="78" t="str">
        <x:v>99.99439139631417</x:v>
      </x:c>
      <x:c r="M3" s="78" t="str">
        <x:v>0.005021410400787825</x:v>
      </x:c>
      <x:c r="N3" s="78" t="str">
        <x:v>0.004999719062613917</x:v>
      </x:c>
      <x:c r="O3" s="78" t="str">
        <x:v>0.07074822177644913</x:v>
      </x:c>
      <x:c r="P3" s="78" t="str">
        <x:v>0.017652017997336567</x:v>
      </x:c>
      <x:c r="Q3" s="78" t="str">
        <x:v>高于5mA名义值但未触发软限</x:v>
      </x:c>
      <x:c r="R3" s="78" t="str">
        <x:v>0</x:v>
      </x:c>
    </x:row>
    <x:row r="4">
      <x:c r="A4" s="68" t="str">
        <x:v>CASE_120_C0_P20</x:v>
      </x:c>
      <x:c r="B4" s="68" t="str">
        <x:v>C0</x:v>
      </x:c>
      <x:c r="C4" s="68" t="str">
        <x:v>+20%</x:v>
      </x:c>
      <x:c r="D4" s="78" t="str">
        <x:v>900000.0</x:v>
      </x:c>
      <x:c r="E4" s="78" t="str">
        <x:v>56.935984929006864</x:v>
      </x:c>
      <x:c r="F4" s="78" t="str">
        <x:v>0.8256307464542304</x:v>
      </x:c>
      <x:c r="G4" s="78" t="str">
        <x:v>56.94197086478117</x:v>
      </x:c>
      <x:c r="H4" s="78" t="str">
        <x:v>0.8307899109610317</x:v>
      </x:c>
      <x:c r="I4" s="78" t="str">
        <x:v>0.12497034270682719</x:v>
      </x:c>
      <x:c r="J4" s="88" t="str">
        <x:v>0.0002185711922457756</x:v>
      </x:c>
      <x:c r="K4" s="78" t="str">
        <x:v>0.06531705605491006</x:v>
      </x:c>
      <x:c r="L4" s="78" t="str">
        <x:v>99.98814152299877</x:v>
      </x:c>
      <x:c r="M4" s="78" t="str">
        <x:v>0.00502521132675416</x:v>
      </x:c>
      <x:c r="N4" s="78" t="str">
        <x:v>0.004999406568979846</x:v>
      </x:c>
      <x:c r="O4" s="78" t="str">
        <x:v>0.07078610036478018</x:v>
      </x:c>
      <x:c r="P4" s="78" t="str">
        <x:v>0.01767092483341777</x:v>
      </x:c>
      <x:c r="Q4" s="78" t="str">
        <x:v>高于5mA名义值但未触发软限</x:v>
      </x:c>
      <x:c r="R4" s="78" t="str">
        <x:v>0</x:v>
      </x:c>
    </x:row>
    <x:row r="5">
      <x:c r="A5" s="68" t="str">
        <x:v>CASE_130_C0_P30</x:v>
      </x:c>
      <x:c r="B5" s="68" t="str">
        <x:v>C0</x:v>
      </x:c>
      <x:c r="C5" s="68" t="str">
        <x:v>+30%</x:v>
      </x:c>
      <x:c r="D5" s="78" t="str">
        <x:v>900000.0</x:v>
      </x:c>
      <x:c r="E5" s="78" t="str">
        <x:v>56.876421355604876</x:v>
      </x:c>
      <x:c r="F5" s="78" t="str">
        <x:v>1.2442733311728438</x:v>
      </x:c>
      <x:c r="G5" s="78" t="str">
        <x:v>56.89003007859087</x:v>
      </x:c>
      <x:c r="H5" s="78" t="str">
        <x:v>1.2532476334140195</x:v>
      </x:c>
      <x:c r="I5" s="78" t="str">
        <x:v>0.12495079658872933</x:v>
      </x:c>
      <x:c r="J5" s="88" t="str">
        <x:v>0.00037494305981256026</x:v>
      </x:c>
      <x:c r="K5" s="78" t="str">
        <x:v>0.06538032709597474</x:v>
      </x:c>
      <x:c r="L5" s="78" t="str">
        <x:v>99.98032184192301</x:v>
      </x:c>
      <x:c r="M5" s="78" t="str">
        <x:v>0.005029286936076638</x:v>
      </x:c>
      <x:c r="N5" s="78" t="str">
        <x:v>0.0049990155849657224</x:v>
      </x:c>
      <x:c r="O5" s="78" t="str">
        <x:v>0.07082286179014127</x:v>
      </x:c>
      <x:c r="P5" s="78" t="str">
        <x:v>0.017689283722010427</x:v>
      </x:c>
      <x:c r="Q5" s="78" t="str">
        <x:v>高于5mA名义值但未触发软限</x:v>
      </x:c>
      <x:c r="R5" s="78" t="str">
        <x:v>0</x:v>
      </x:c>
    </x:row>
    <x:row r="6">
      <x:c r="A6" s="68" t="str">
        <x:v>CASE_210_RM_P15</x:v>
      </x:c>
      <x:c r="B6" s="68" t="str">
        <x:v>Rm</x:v>
      </x:c>
      <x:c r="C6" s="68" t="str">
        <x:v>+15%</x:v>
      </x:c>
      <x:c r="D6" s="78" t="str">
        <x:v>900000.0</x:v>
      </x:c>
      <x:c r="E6" s="78" t="str">
        <x:v>50.58654688055001</x:v>
      </x:c>
      <x:c r="F6" s="78" t="str">
        <x:v>-0.8735733478274312</x:v>
      </x:c>
      <x:c r="G6" s="78" t="str">
        <x:v>50.59408913788367</x:v>
      </x:c>
      <x:c r="H6" s="78" t="str">
        <x:v>-0.9893359892194621</x:v>
      </x:c>
      <x:c r="I6" s="78" t="str">
        <x:v>0.12326449233963556</x:v>
      </x:c>
      <x:c r="J6" s="88" t="str">
        <x:v>0.013865629210195185</x:v>
      </x:c>
      <x:c r="K6" s="78" t="str">
        <x:v>0.010460451118528249</x:v>
      </x:c>
      <x:c r="L6" s="78" t="str">
        <x:v>106.49100575242066</x:v>
      </x:c>
      <x:c r="M6" s="78" t="str">
        <x:v>0.00465199829971903</x:v>
      </x:c>
      <x:c r="N6" s="78" t="str">
        <x:v>0.004630043320691034</x:v>
      </x:c>
      <x:c r="O6" s="78" t="str">
        <x:v>0.07525381618599832</x:v>
      </x:c>
      <x:c r="P6" s="78" t="str">
        <x:v>0.01997194498275186</x:v>
      </x:c>
      <x:c r="Q6" s="78" t="str">
        <x:v>未超过5mA名义值</x:v>
      </x:c>
      <x:c r="R6" s="78" t="str">
        <x:v>0</x:v>
      </x:c>
    </x:row>
    <x:row r="7">
      <x:c r="A7" s="68" t="str">
        <x:v>CASE_220_RM_P30</x:v>
      </x:c>
      <x:c r="B7" s="68" t="str">
        <x:v>Rm</x:v>
      </x:c>
      <x:c r="C7" s="68" t="str">
        <x:v>+30%</x:v>
      </x:c>
      <x:c r="D7" s="78" t="str">
        <x:v>900000.0</x:v>
      </x:c>
      <x:c r="E7" s="78" t="str">
        <x:v>45.59527468758599</x:v>
      </x:c>
      <x:c r="F7" s="78" t="str">
        <x:v>-1.4549308315556595</x:v>
      </x:c>
      <x:c r="G7" s="78" t="str">
        <x:v>45.61848197343957</x:v>
      </x:c>
      <x:c r="H7" s="78" t="str">
        <x:v>-1.8276700895142282</x:v>
      </x:c>
      <x:c r="I7" s="78" t="str">
        <x:v>0.12080605347154211</x:v>
      </x:c>
      <x:c r="J7" s="88" t="str">
        <x:v>0.03353350777195174</x:v>
      </x:c>
      <x:c r="K7" s="78" t="str">
        <x:v>0.0485197505441792</x:v>
      </x:c>
      <x:c r="L7" s="78" t="str">
        <x:v>112.08849427568128</x:v>
      </x:c>
      <x:c r="M7" s="78" t="str">
        <x:v>0.004337207138799285</x:v>
      </x:c>
      <x:c r="N7" s="78" t="str">
        <x:v>0.004311095598368498</x:v>
      </x:c>
      <x:c r="O7" s="78" t="str">
        <x:v>0.07917682560936125</x:v>
      </x:c>
      <x:c r="P7" s="78" t="str">
        <x:v>0.02210851009291234</x:v>
      </x:c>
      <x:c r="Q7" s="78" t="str">
        <x:v>未超过5mA名义值</x:v>
      </x:c>
      <x:c r="R7" s="78" t="str">
        <x:v>0</x:v>
      </x:c>
    </x:row>
    <x:row r="8">
      <x:c r="A8" s="68" t="str">
        <x:v>CASE_230_RM_P50</x:v>
      </x:c>
      <x:c r="B8" s="68" t="str">
        <x:v>Rm</x:v>
      </x:c>
      <x:c r="C8" s="68" t="str">
        <x:v>+50%</x:v>
      </x:c>
      <x:c r="D8" s="78" t="str">
        <x:v>900000.0</x:v>
      </x:c>
      <x:c r="E8" s="78" t="str">
        <x:v>40.48110793823418</x:v>
      </x:c>
      <x:c r="F8" s="78" t="str">
        <x:v>-1.9764428399819196</x:v>
      </x:c>
      <x:c r="G8" s="78" t="str">
        <x:v>40.52932797625297</x:v>
      </x:c>
      <x:c r="H8" s="78" t="str">
        <x:v>-2.7951799424139554</x:v>
      </x:c>
      <x:c r="I8" s="78" t="str">
        <x:v>0.11692606353647765</x:v>
      </x:c>
      <x:c r="J8" s="88" t="str">
        <x:v>0.06457400743784991</x:v>
      </x:c>
      <x:c r="K8" s="78" t="str">
        <x:v>0.10742128069154107</x:v>
      </x:c>
      <x:c r="L8" s="78" t="str">
        <x:v>118.45306487305947</x:v>
      </x:c>
      <x:c r="M8" s="78" t="str">
        <x:v>0.003980248912963906</x:v>
      </x:c>
      <x:c r="N8" s="78" t="str">
        <x:v>0.003948435230002003</x:v>
      </x:c>
      <x:c r="O8" s="78" t="str">
        <x:v>0.0836417881408537</x:v>
      </x:c>
      <x:c r="P8" s="78" t="str">
        <x:v>0.024672316190305132</x:v>
      </x:c>
      <x:c r="Q8" s="78" t="str">
        <x:v>未超过5mA名义值</x:v>
      </x:c>
      <x:c r="R8" s="78" t="str">
        <x:v>0</x:v>
      </x:c>
    </x:row>
    <x:row r="9">
      <x:c r="A9" s="68" t="str">
        <x:v>CASE_310_FS_M1</x:v>
      </x:c>
      <x:c r="B9" s="68" t="str">
        <x:v>fs</x:v>
      </x:c>
      <x:c r="C9" s="68" t="str">
        <x:v>-1%（仅改变Cm）</x:v>
      </x:c>
      <x:c r="D9" s="78" t="str">
        <x:v>900000.0</x:v>
      </x:c>
      <x:c r="E9" s="78" t="str">
        <x:v>30.849881489666487</x:v>
      </x:c>
      <x:c r="F9" s="78" t="str">
        <x:v>-28.645716915970876</x:v>
      </x:c>
      <x:c r="G9" s="78" t="str">
        <x:v>42.09860194301477</x:v>
      </x:c>
      <x:c r="H9" s="78" t="str">
        <x:v>-42.878303602695716</x:v>
      </x:c>
      <x:c r="I9" s="78" t="str">
        <x:v>0.09266555836330093</x:v>
      </x:c>
      <x:c r="J9" s="88" t="str">
        <x:v>0.25866167656217787</x:v>
      </x:c>
      <x:c r="K9" s="78" t="str">
        <x:v>0.40171896524105555</x:v>
      </x:c>
      <x:c r="L9" s="78" t="str">
        <x:v>129.61846061467602</x:v>
      </x:c>
      <x:c r="M9" s="78" t="str">
        <x:v>0.003911168177265398</x:v>
      </x:c>
      <x:c r="N9" s="78" t="str">
        <x:v>0.004305009851248799</x:v>
      </x:c>
      <x:c r="O9" s="78" t="str">
        <x:v>0.08825232388519</x:v>
      </x:c>
      <x:c r="P9" s="78" t="str">
        <x:v>0.027467276845399152</x:v>
      </x:c>
      <x:c r="Q9" s="78" t="str">
        <x:v>未超过5mA名义值</x:v>
      </x:c>
      <x:c r="R9" s="78" t="str">
        <x:v>0</x:v>
      </x:c>
    </x:row>
    <x:row r="10">
      <x:c r="A10" s="68" t="str">
        <x:v>CASE_320_FS_M3</x:v>
      </x:c>
      <x:c r="B10" s="68" t="str">
        <x:v>fs</x:v>
      </x:c>
      <x:c r="C10" s="68" t="str">
        <x:v>-3%（仅改变Cm）</x:v>
      </x:c>
      <x:c r="D10" s="78" t="str">
        <x:v>900000.0</x:v>
      </x:c>
      <x:c r="E10" s="78" t="str">
        <x:v>11.349233702374631</x:v>
      </x:c>
      <x:c r="F10" s="78" t="str">
        <x:v>-17.604232072795497</x:v>
      </x:c>
      <x:c r="G10" s="78" t="str">
        <x:v>20.945502918382218</x:v>
      </x:c>
      <x:c r="H10" s="78" t="str">
        <x:v>-57.19061795331538</x:v>
      </x:c>
      <x:c r="I10" s="78" t="str">
        <x:v>0.03020731699797772</x:v>
      </x:c>
      <x:c r="J10" s="88" t="str">
        <x:v>0.7583369470344179</x:v>
      </x:c>
      <x:c r="K10" s="78" t="str">
        <x:v>0.6654292490599785</x:v>
      </x:c>
      <x:c r="L10" s="78" t="str">
        <x:v>171.4869150468907</x:v>
      </x:c>
      <x:c r="M10" s="78" t="str">
        <x:v>0.0017734583235057254</x:v>
      </x:c>
      <x:c r="N10" s="78" t="str">
        <x:v>0.00245793872898599</x:v>
      </x:c>
      <x:c r="O10" s="78" t="str">
        <x:v>0.11860243821739008</x:v>
      </x:c>
      <x:c r="P10" s="78" t="str">
        <x:v>0.049607865297931396</x:v>
      </x:c>
      <x:c r="Q10" s="78" t="str">
        <x:v>未超过5mA名义值</x:v>
      </x:c>
      <x:c r="R10" s="78" t="str">
        <x:v>1</x:v>
      </x:c>
    </x:row>
    <x:row r="11">
      <x:c r="A11" s="68" t="str">
        <x:v>CASE_330_FS_M5</x:v>
      </x:c>
      <x:c r="B11" s="68" t="str">
        <x:v>fs</x:v>
      </x:c>
      <x:c r="C11" s="68" t="str">
        <x:v>-5%（仅改变Cm）</x:v>
      </x:c>
      <x:c r="D11" s="78" t="str">
        <x:v>900000.0</x:v>
      </x:c>
      <x:c r="E11" s="78" t="str">
        <x:v>8.695359961028643</x:v>
      </x:c>
      <x:c r="F11" s="78" t="str">
        <x:v>-12.486523647906274</x:v>
      </x:c>
      <x:c r="G11" s="78" t="str">
        <x:v>15.2158653274003</x:v>
      </x:c>
      <x:c r="H11" s="78" t="str">
        <x:v>-55.147435107810495</x:v>
      </x:c>
      <x:c r="I11" s="78" t="str">
        <x:v>0.01305659173056967</x:v>
      </x:c>
      <x:c r="J11" s="88" t="str">
        <x:v>0.8955453137679895</x:v>
      </x:c>
      <x:c r="K11" s="78" t="str">
        <x:v>0.7190733270679236</x:v>
      </x:c>
      <x:c r="L11" s="78" t="str">
        <x:v>181.0986542548981</x:v>
      </x:c>
      <x:c r="M11" s="78" t="str">
        <x:v>0.0008710727846408808</x:v>
      </x:c>
      <x:c r="N11" s="78" t="str">
        <x:v>0.0016159573277107694</x:v>
      </x:c>
      <x:c r="O11" s="78" t="str">
        <x:v>0.1261449049067852</x:v>
      </x:c>
      <x:c r="P11" s="78" t="str">
        <x:v>0.05611807070257995</x:v>
      </x:c>
      <x:c r="Q11" s="78" t="str">
        <x:v>未超过5mA名义值</x:v>
      </x:c>
      <x:c r="R11" s="78" t="str">
        <x:v>1</x:v>
      </x:c>
    </x:row>
    <x:row r="12">
      <x:c r="A12" s="68" t="str">
        <x:v>CASE_410_RS_P5</x:v>
      </x:c>
      <x:c r="B12" s="68" t="str">
        <x:v>Rs</x:v>
      </x:c>
      <x:c r="C12" s="68" t="str">
        <x:v>+5%</x:v>
      </x:c>
      <x:c r="D12" s="78" t="str">
        <x:v>900000.0</x:v>
      </x:c>
      <x:c r="E12" s="78" t="str">
        <x:v>57.05543242911211</x:v>
      </x:c>
      <x:c r="F12" s="78" t="str">
        <x:v>-0.013142094960531632</x:v>
      </x:c>
      <x:c r="G12" s="78" t="str">
        <x:v>57.05543394268101</x:v>
      </x:c>
      <x:c r="H12" s="78" t="str">
        <x:v>-0.013197456049733934</x:v>
      </x:c>
      <x:c r="I12" s="78" t="str">
        <x:v>0.11935798571279124</x:v>
      </x:c>
      <x:c r="J12" s="88" t="str">
        <x:v>0.045118266375444804</x:v>
      </x:c>
      <x:c r="K12" s="78" t="str">
        <x:v>0.041581245697178824</x:v>
      </x:c>
      <x:c r="L12" s="78" t="str">
        <x:v>97.71714199414025</x:v>
      </x:c>
      <x:c r="M12" s="78" t="str">
        <x:v>0.004903379623593316</x:v>
      </x:c>
      <x:c r="N12" s="78" t="str">
        <x:v>0.004885856604056118</x:v>
      </x:c>
      <x:c r="O12" s="78" t="str">
        <x:v>0.06909567832478099</x:v>
      </x:c>
      <x:c r="P12" s="78" t="str">
        <x:v>0.016837014036214508</x:v>
      </x:c>
      <x:c r="Q12" s="78" t="str">
        <x:v>未超过5mA名义值</x:v>
      </x:c>
      <x:c r="R12" s="78" t="str">
        <x:v>0</x:v>
      </x:c>
    </x:row>
    <x:row r="13">
      <x:c r="A13" s="68" t="str">
        <x:v>CASE_420_RS_P10</x:v>
      </x:c>
      <x:c r="B13" s="68" t="str">
        <x:v>Rs</x:v>
      </x:c>
      <x:c r="C13" s="68" t="str">
        <x:v>+10%</x:v>
      </x:c>
      <x:c r="D13" s="78" t="str">
        <x:v>900000.0</x:v>
      </x:c>
      <x:c r="E13" s="78" t="str">
        <x:v>57.055432429112145</x:v>
      </x:c>
      <x:c r="F13" s="78" t="str">
        <x:v>-0.013142094960531649</x:v>
      </x:c>
      <x:c r="G13" s="78" t="str">
        <x:v>57.05543394268105</x:v>
      </x:c>
      <x:c r="H13" s="78" t="str">
        <x:v>-0.013197456049733942</x:v>
      </x:c>
      <x:c r="I13" s="78" t="str">
        <x:v>0.11409155105014687</x:v>
      </x:c>
      <x:c r="J13" s="88" t="str">
        <x:v>0.08725053118080983</x:v>
      </x:c>
      <x:c r="K13" s="78" t="str">
        <x:v>0.018343371527633167</x:v>
      </x:c>
      <x:c r="L13" s="78" t="str">
        <x:v>95.53703482493817</x:v>
      </x:c>
      <x:c r="M13" s="78" t="str">
        <x:v>0.004793983330859374</x:v>
      </x:c>
      <x:c r="N13" s="78" t="str">
        <x:v>0.0047768512566541774</x:v>
      </x:c>
      <x:c r="O13" s="78" t="str">
        <x:v>0.06755412706158732</x:v>
      </x:c>
      <x:c r="P13" s="78" t="str">
        <x:v>0.016094114147227438</x:v>
      </x:c>
      <x:c r="Q13" s="78" t="str">
        <x:v>未超过5mA名义值</x:v>
      </x:c>
      <x:c r="R13" s="78" t="str">
        <x:v>0</x:v>
      </x:c>
    </x:row>
    <x:row r="14">
      <x:c r="A14" s="68" t="str">
        <x:v>CASE_430_RS_P20</x:v>
      </x:c>
      <x:c r="B14" s="68" t="str">
        <x:v>Rs</x:v>
      </x:c>
      <x:c r="C14" s="68" t="str">
        <x:v>+20%</x:v>
      </x:c>
      <x:c r="D14" s="78" t="str">
        <x:v>900000.0</x:v>
      </x:c>
      <x:c r="E14" s="78" t="str">
        <x:v>57.055432429112095</x:v>
      </x:c>
      <x:c r="F14" s="78" t="str">
        <x:v>-0.013142094960531628</x:v>
      </x:c>
      <x:c r="G14" s="78" t="str">
        <x:v>57.055433942681</x:v>
      </x:c>
      <x:c r="H14" s="78" t="str">
        <x:v>-0.013197456049733934</x:v>
      </x:c>
      <x:c r="I14" s="78" t="str">
        <x:v>0.10455292066506915</x:v>
      </x:c>
      <x:c r="J14" s="88" t="str">
        <x:v>0.1635610005986159</x:v>
      </x:c>
      <x:c r="K14" s="78" t="str">
        <x:v>0.025155576454298792</x:v>
      </x:c>
      <x:c r="L14" s="78" t="str">
        <x:v>91.45618904054137</x:v>
      </x:c>
      <x:c r="M14" s="78" t="str">
        <x:v>0.004589209269134995</x:v>
      </x:c>
      <x:c r="N14" s="78" t="str">
        <x:v>0.00457280898813362</x:v>
      </x:c>
      <x:c r="O14" s="78" t="str">
        <x:v>0.06466856571730834</x:v>
      </x:c>
      <x:c r="P14" s="78" t="str">
        <x:v>0.014748564850959444</x:v>
      </x:c>
      <x:c r="Q14" s="78" t="str">
        <x:v>未超过5mA名义值</x:v>
      </x:c>
      <x:c r="R14" s="78" t="str">
        <x:v>0</x:v>
      </x:c>
    </x:row>
    <x:row r="15">
      <x:c r="A15" s="68" t="str">
        <x:v>CASE_510_LS_P2</x:v>
      </x:c>
      <x:c r="B15" s="68" t="str">
        <x:v>Ls</x:v>
      </x:c>
      <x:c r="C15" s="68" t="str">
        <x:v>+2%</x:v>
      </x:c>
      <x:c r="D15" s="78" t="str">
        <x:v>900000.0</x:v>
      </x:c>
      <x:c r="E15" s="78" t="str">
        <x:v>57.19649873572213</x:v>
      </x:c>
      <x:c r="F15" s="78" t="str">
        <x:v>14.093488565600538</x:v>
      </x:c>
      <x:c r="G15" s="78" t="str">
        <x:v>58.90726515103359</x:v>
      </x:c>
      <x:c r="H15" s="78" t="str">
        <x:v>13.842204243504924</x:v>
      </x:c>
      <x:c r="I15" s="78" t="str">
        <x:v>0.12255057994668347</x:v>
      </x:c>
      <x:c r="J15" s="88" t="str">
        <x:v>0.019577035107061658</x:v>
      </x:c>
      <x:c r="K15" s="78" t="str">
        <x:v>0.14636224876956574</x:v>
      </x:c>
      <x:c r="L15" s="78" t="str">
        <x:v>99.01538973560508</x:v>
      </x:c>
      <x:c r="M15" s="78" t="str">
        <x:v>0.004968524810936765</x:v>
      </x:c>
      <x:c r="N15" s="78" t="str">
        <x:v>0.004950768984544255</x:v>
      </x:c>
      <x:c r="O15" s="78" t="str">
        <x:v>0.0700136678044109</x:v>
      </x:c>
      <x:c r="P15" s="78" t="str">
        <x:v>0.017633118880433292</x:v>
      </x:c>
      <x:c r="Q15" s="78" t="str">
        <x:v>未超过5mA名义值</x:v>
      </x:c>
      <x:c r="R15" s="78" t="str">
        <x:v>0</x:v>
      </x:c>
    </x:row>
    <x:row r="16">
      <x:c r="A16" s="68" t="str">
        <x:v>CASE_520_LS_P5</x:v>
      </x:c>
      <x:c r="B16" s="68" t="str">
        <x:v>Ls</x:v>
      </x:c>
      <x:c r="C16" s="68" t="str">
        <x:v>+5%</x:v>
      </x:c>
      <x:c r="D16" s="78" t="str">
        <x:v>900000.0</x:v>
      </x:c>
      <x:c r="E16" s="78" t="str">
        <x:v>57.40809819562209</x:v>
      </x:c>
      <x:c r="F16" s="78" t="str">
        <x:v>35.25343455644231</x:v>
      </x:c>
      <x:c r="G16" s="78" t="str">
        <x:v>67.36834855081094</x:v>
      </x:c>
      <x:c r="H16" s="78" t="str">
        <x:v>31.553449022057325</x:v>
      </x:c>
      <x:c r="I16" s="78" t="str">
        <x:v>0.11210167806044384</x:v>
      </x:c>
      <x:c r="J16" s="88" t="str">
        <x:v>0.10316981264952085</x:v>
      </x:c>
      <x:c r="K16" s="78" t="str">
        <x:v>0.318662504865511</x:v>
      </x:c>
      <x:c r="L16" s="78" t="str">
        <x:v>94.70023847692164</x:v>
      </x:c>
      <x:c r="M16" s="78" t="str">
        <x:v>0.004751993460113792</x:v>
      </x:c>
      <x:c r="N16" s="78" t="str">
        <x:v>0.004735011443497834</x:v>
      </x:c>
      <x:c r="O16" s="78" t="str">
        <x:v>0.06696242932968516</x:v>
      </x:c>
      <x:c r="P16" s="78" t="str">
        <x:v>0.016604087204563574</x:v>
      </x:c>
      <x:c r="Q16" s="78" t="str">
        <x:v>未超过5mA名义值</x:v>
      </x:c>
      <x:c r="R16" s="78" t="str">
        <x:v>0</x:v>
      </x:c>
    </x:row>
    <x:row r="17">
      <x:c r="A17" s="68" t="str">
        <x:v>CASE_530_LS_P10</x:v>
      </x:c>
      <x:c r="B17" s="68" t="str">
        <x:v>Ls</x:v>
      </x:c>
      <x:c r="C17" s="68" t="str">
        <x:v>+10%</x:v>
      </x:c>
      <x:c r="D17" s="78" t="str">
        <x:v>900000.0</x:v>
      </x:c>
      <x:c r="E17" s="78" t="str">
        <x:v>57.76076396214212</x:v>
      </x:c>
      <x:c r="F17" s="78" t="str">
        <x:v>70.52001120784527</x:v>
      </x:c>
      <x:c r="G17" s="78" t="str">
        <x:v>91.15578881368378</x:v>
      </x:c>
      <x:c r="H17" s="78" t="str">
        <x:v>50.68015330937691</x:v>
      </x:c>
      <x:c r="I17" s="78" t="str">
        <x:v>0.08637577397846884</x:v>
      </x:c>
      <x:c r="J17" s="88" t="str">
        <x:v>0.3089808921692947</x:v>
      </x:c>
      <x:c r="K17" s="78" t="str">
        <x:v>0.5508873314486479</x:v>
      </x:c>
      <x:c r="L17" s="78" t="str">
        <x:v>83.12678647264315</x:v>
      </x:c>
      <x:c r="M17" s="78" t="str">
        <x:v>0.004171245521990332</x:v>
      </x:c>
      <x:c r="N17" s="78" t="str">
        <x:v>0.004156338901987958</x:v>
      </x:c>
      <x:c r="O17" s="78" t="str">
        <x:v>0.058778854774845256</x:v>
      </x:c>
      <x:c r="P17" s="78" t="str">
        <x:v>0.013402883109976673</x:v>
      </x:c>
      <x:c r="Q17" s="78" t="str">
        <x:v>未超过5mA名义值</x:v>
      </x:c>
      <x:c r="R17" s="78" t="str">
        <x:v>0</x:v>
      </x:c>
    </x:row>
    <x:row r="18">
      <x:c r="A18" s="68" t="str">
        <x:v>CASE_610_CP_M2</x:v>
      </x:c>
      <x:c r="B18" s="68" t="str">
        <x:v>Cp</x:v>
      </x:c>
      <x:c r="C18" s="68" t="str">
        <x:v>-2%</x:v>
      </x:c>
      <x:c r="D18" s="78" t="str">
        <x:v>900000.0</x:v>
      </x:c>
      <x:c r="E18" s="78" t="str">
        <x:v>59.09368975080527</x:v>
      </x:c>
      <x:c r="F18" s="78" t="str">
        <x:v>-14.172255189617672</x:v>
      </x:c>
      <x:c r="G18" s="78" t="str">
        <x:v>60.76937539191984</x:v>
      </x:c>
      <x:c r="H18" s="78" t="str">
        <x:v>-13.486354040617192</x:v>
      </x:c>
      <x:c r="I18" s="78" t="str">
        <x:v>0.12319817417034279</x:v>
      </x:c>
      <x:c r="J18" s="88" t="str">
        <x:v>0.014396184481272445</x:v>
      </x:c>
      <x:c r="K18" s="78" t="str">
        <x:v>0.15306630443648267</x:v>
      </x:c>
      <x:c r="L18" s="78" t="str">
        <x:v>99.27665862486057</x:v>
      </x:c>
      <x:c r="M18" s="78" t="str">
        <x:v>0.0049816351058319126</x:v>
      </x:c>
      <x:c r="N18" s="78" t="str">
        <x:v>0.004963832427681793</x:v>
      </x:c>
      <x:c r="O18" s="78" t="str">
        <x:v>0.06880992746096393</x:v>
      </x:c>
      <x:c r="P18" s="78" t="str">
        <x:v>0.01669804028611699</x:v>
      </x:c>
      <x:c r="Q18" s="78" t="str">
        <x:v>未超过5mA名义值</x:v>
      </x:c>
      <x:c r="R18" s="78" t="str">
        <x:v>0</x:v>
      </x:c>
    </x:row>
    <x:row r="19">
      <x:c r="A19" s="68" t="str">
        <x:v>CASE_620_CP_M5</x:v>
      </x:c>
      <x:c r="B19" s="68" t="str">
        <x:v>Cp</x:v>
      </x:c>
      <x:c r="C19" s="68" t="str">
        <x:v>-5%</x:v>
      </x:c>
      <x:c r="D19" s="78" t="str">
        <x:v>900000.0</x:v>
      </x:c>
      <x:c r="E19" s="78" t="str">
        <x:v>62.39248819541699</x:v>
      </x:c>
      <x:c r="F19" s="78" t="str">
        <x:v>-36.503672535775145</x:v>
      </x:c>
      <x:c r="G19" s="78" t="str">
        <x:v>72.28651805014786</x:v>
      </x:c>
      <x:c r="H19" s="78" t="str">
        <x:v>-30.330416525675314</x:v>
      </x:c>
      <x:c r="I19" s="78" t="str">
        <x:v>0.11353669720341839</x:v>
      </x:c>
      <x:c r="J19" s="88" t="str">
        <x:v>0.09168944492343323</x:v>
      </x:c>
      <x:c r="K19" s="78" t="str">
        <x:v>0.32621861714520384</x:v>
      </x:c>
      <x:c r="L19" s="78" t="str">
        <x:v>95.30444224083138</x:v>
      </x:c>
      <x:c r="M19" s="78" t="str">
        <x:v>0.004782311993423241</x:v>
      </x:c>
      <x:c r="N19" s="78" t="str">
        <x:v>0.004765221628628616</x:v>
      </x:c>
      <x:c r="O19" s="78" t="str">
        <x:v>0.06405760810638977</x:v>
      </x:c>
      <x:c r="P19" s="78" t="str">
        <x:v>0.014471206501268636</x:v>
      </x:c>
      <x:c r="Q19" s="78" t="str">
        <x:v>未超过5mA名义值</x:v>
      </x:c>
      <x:c r="R19" s="78" t="str">
        <x:v>0</x:v>
      </x:c>
    </x:row>
    <x:row r="20">
      <x:c r="A20" s="68" t="str">
        <x:v>CASE_630_CP_M10</x:v>
      </x:c>
      <x:c r="B20" s="68" t="str">
        <x:v>Cp</x:v>
      </x:c>
      <x:c r="C20" s="68" t="str">
        <x:v>-10%</x:v>
      </x:c>
      <x:c r="D20" s="78" t="str">
        <x:v>900000.0</x:v>
      </x:c>
      <x:c r="E20" s="78" t="str">
        <x:v>68.63002650478728</x:v>
      </x:c>
      <x:c r="F20" s="78" t="str">
        <x:v>-76.9507733645753</x:v>
      </x:c>
      <x:c r="G20" s="78" t="str">
        <x:v>103.10917543775645</x:v>
      </x:c>
      <x:c r="H20" s="78" t="str">
        <x:v>-48.27121130189148</x:v>
      </x:c>
      <x:c r="I20" s="78" t="str">
        <x:v>0.08823449426482088</x:v>
      </x:c>
      <x:c r="J20" s="88" t="str">
        <x:v>0.2941108519390099</x:v>
      </x:c>
      <x:c r="K20" s="78" t="str">
        <x:v>0.559920630244859</x:v>
      </x:c>
      <x:c r="L20" s="78" t="str">
        <x:v>84.01642855701726</x:v>
      </x:c>
      <x:c r="M20" s="78" t="str">
        <x:v>0.004215887155789576</x:v>
      </x:c>
      <x:c r="N20" s="78" t="str">
        <x:v>0.004200821001694129</x:v>
      </x:c>
      <x:c r="O20" s="78" t="str">
        <x:v>0.053533973547093765</x:v>
      </x:c>
      <x:c r="P20" s="78" t="str">
        <x:v>0.010106999971041707</x:v>
      </x:c>
      <x:c r="Q20" s="78" t="str">
        <x:v>未超过5mA名义值</x:v>
      </x:c>
      <x:c r="R20" s="78" t="str">
        <x:v>0</x:v>
      </x:c>
    </x:row>
    <x:row r="21">
      <x:c r="A21" s="68" t="str">
        <x:v>CASE_720_Q50</x:v>
      </x:c>
      <x:c r="B21" s="68" t="str">
        <x:v>电感Q</x:v>
      </x:c>
      <x:c r="C21" s="68" t="str">
        <x:v>Q=50</x:v>
      </x:c>
      <x:c r="D21" s="78" t="str">
        <x:v>900000.0</x:v>
      </x:c>
      <x:c r="E21" s="78" t="str">
        <x:v>64.1087477594321</x:v>
      </x:c>
      <x:c r="F21" s="78" t="str">
        <x:v>-0.013142094960531639</x:v>
      </x:c>
      <x:c r="G21" s="78" t="str">
        <x:v>64.1087491064765</x:v>
      </x:c>
      <x:c r="H21" s="78" t="str">
        <x:v>-0.011745457382453058</x:v>
      </x:c>
      <x:c r="I21" s="78" t="str">
        <x:v>0.11002248188445204</x:v>
      </x:c>
      <x:c r="J21" s="88" t="str">
        <x:v>0.11980369296527948</x:v>
      </x:c>
      <x:c r="K21" s="78" t="str">
        <x:v>0.12364305159529367</x:v>
      </x:c>
      <x:c r="L21" s="78" t="str">
        <x:v>93.81790584100591</x:v>
      </x:c>
      <x:c r="M21" s="78" t="str">
        <x:v>0.004707718609459237</x:v>
      </x:c>
      <x:c r="N21" s="78" t="str">
        <x:v>0.004690894816177507</x:v>
      </x:c>
      <x:c r="O21" s="78" t="str">
        <x:v>0.06633853294116465</x:v>
      </x:c>
      <x:c r="P21" s="78" t="str">
        <x:v>0.03104023682579882</x:v>
      </x:c>
      <x:c r="Q21" s="78" t="str">
        <x:v>未超过5mA名义值</x:v>
      </x:c>
      <x:c r="R21" s="78" t="str">
        <x:v>0</x:v>
      </x:c>
    </x:row>
    <x:row r="22">
      <x:c r="A22" s="69" t="str">
        <x:v>CASE_730_Q20</x:v>
      </x:c>
      <x:c r="B22" s="69" t="str">
        <x:v>电感Q</x:v>
      </x:c>
      <x:c r="C22" s="69" t="str">
        <x:v>Q=20</x:v>
      </x:c>
      <x:c r="D22" s="79" t="str">
        <x:v>900000.0</x:v>
      </x:c>
      <x:c r="E22" s="79" t="str">
        <x:v>85.26869375023209</x:v>
      </x:c>
      <x:c r="F22" s="79" t="str">
        <x:v>-0.01314209496053163</x:v>
      </x:c>
      <x:c r="G22" s="79" t="str">
        <x:v>85.26869476299922</x:v>
      </x:c>
      <x:c r="H22" s="79" t="str">
        <x:v>-0.008830750608680831</x:v>
      </x:c>
      <x:c r="I22" s="79" t="str">
        <x:v>0.07829332289490565</x:v>
      </x:c>
      <x:c r="J22" s="89" t="str">
        <x:v>0.37364170942855746</x:v>
      </x:c>
      <x:c r="K22" s="79" t="str">
        <x:v>0.2607306617261718</x:v>
      </x:c>
      <x:c r="L22" s="79" t="str">
        <x:v>79.14206514903253</x:v>
      </x:c>
      <x:c r="M22" s="79" t="str">
        <x:v>0.003971294920231414</x:v>
      </x:c>
      <x:c r="N22" s="79" t="str">
        <x:v>0.003957102856019139</x:v>
      </x:c>
      <x:c r="O22" s="79" t="str">
        <x:v>0.05596126292584708</x:v>
      </x:c>
      <x:c r="P22" s="79" t="str">
        <x:v>0.05522151570551061</x:v>
      </x:c>
      <x:c r="Q22" s="79" t="str">
        <x:v>未超过5mA名义值</x:v>
      </x:c>
      <x:c r="R22" s="79" t="str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34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70" hidden="0" customWidth="1"/>
  </x:cols>
  <x:sheetData>
    <x:row r="1" ht="42" customHeight="1">
      <x:c r="A1" s="62" t="str">
        <x:v>﻿case_id</x:v>
      </x:c>
      <x:c r="B1" s="62" t="str">
        <x:v>扰动参数</x:v>
      </x:c>
      <x:c r="C1" s="62" t="str">
        <x:v>扰动等级</x:v>
      </x:c>
      <x:c r="D1" s="62" t="str">
        <x:v>参数</x:v>
      </x:c>
      <x:c r="E1" s="62" t="str">
        <x:v>数值</x:v>
      </x:c>
      <x:c r="F1" s="62" t="str">
        <x:v>是否为本场景主动改变项</x:v>
      </x:c>
      <x:c r="G1" s="62" t="str">
        <x:v>是否为派生变化</x:v>
      </x:c>
      <x:c r="H1" s="62" t="str">
        <x:v>参数身份</x:v>
      </x:c>
      <x:c r="I1" s="62" t="str">
        <x:v>说明</x:v>
      </x:c>
    </x:row>
    <x:row r="2">
      <x:c r="A2" s="104" t="str">
        <x:v>CASE_000_BASELINE</x:v>
      </x:c>
      <x:c r="B2" s="104" t="str">
        <x:v>基准</x:v>
      </x:c>
      <x:c r="C2" s="104" t="str">
        <x:v>基准</x:v>
      </x:c>
      <x:c r="D2" s="104" t="str">
        <x:v>C0_F</x:v>
      </x:c>
      <x:c r="E2" s="105" t="str">
        <x:v>1.5e-12</x:v>
      </x:c>
      <x:c r="F2" s="106" t="str">
        <x:v>0</x:v>
      </x:c>
      <x:c r="G2" s="106" t="str">
        <x:v>0</x:v>
      </x:c>
      <x:c r="H2" s="104" t="str">
        <x:v>假设基线值</x:v>
      </x:c>
      <x:c r="I2" s="104" t="str">
        <x:v>除标明参数外，其余BVD、源阻抗和匹配网络参数保持基准值</x:v>
      </x:c>
    </x:row>
    <x:row r="3">
      <x:c r="A3" s="104" t="str">
        <x:v>CASE_000_BASELINE</x:v>
      </x:c>
      <x:c r="B3" s="104" t="str">
        <x:v>基准</x:v>
      </x:c>
      <x:c r="C3" s="104" t="str">
        <x:v>基准</x:v>
      </x:c>
      <x:c r="D3" s="104" t="str">
        <x:v>Rm_ohm</x:v>
      </x:c>
      <x:c r="E3" s="105" t="str">
        <x:v>10000.0</x:v>
      </x:c>
      <x:c r="F3" s="106" t="str">
        <x:v>0</x:v>
      </x:c>
      <x:c r="G3" s="106" t="str">
        <x:v>0</x:v>
      </x:c>
      <x:c r="H3" s="104" t="str">
        <x:v>假设基线值</x:v>
      </x:c>
      <x:c r="I3" s="104" t="str">
        <x:v>除标明参数外，其余BVD、源阻抗和匹配网络参数保持基准值</x:v>
      </x:c>
    </x:row>
    <x:row r="4">
      <x:c r="A4" s="104" t="str">
        <x:v>CASE_000_BASELINE</x:v>
      </x:c>
      <x:c r="B4" s="104" t="str">
        <x:v>基准</x:v>
      </x:c>
      <x:c r="C4" s="104" t="str">
        <x:v>基准</x:v>
      </x:c>
      <x:c r="D4" s="104" t="str">
        <x:v>Lm_H</x:v>
      </x:c>
      <x:c r="E4" s="105" t="str">
        <x:v>0.1</x:v>
      </x:c>
      <x:c r="F4" s="106" t="str">
        <x:v>0</x:v>
      </x:c>
      <x:c r="G4" s="106" t="str">
        <x:v>0</x:v>
      </x:c>
      <x:c r="H4" s="104" t="str">
        <x:v>假设基线值</x:v>
      </x:c>
      <x:c r="I4" s="104" t="str">
        <x:v>除标明参数外，其余BVD、源阻抗和匹配网络参数保持基准值</x:v>
      </x:c>
    </x:row>
    <x:row r="5">
      <x:c r="A5" s="104" t="str">
        <x:v>CASE_000_BASELINE</x:v>
      </x:c>
      <x:c r="B5" s="104" t="str">
        <x:v>基准</x:v>
      </x:c>
      <x:c r="C5" s="104" t="str">
        <x:v>基准</x:v>
      </x:c>
      <x:c r="D5" s="104" t="str">
        <x:v>Cm_F</x:v>
      </x:c>
      <x:c r="E5" s="105" t="str">
        <x:v>3.1272e-13</x:v>
      </x:c>
      <x:c r="F5" s="106" t="str">
        <x:v>0</x:v>
      </x:c>
      <x:c r="G5" s="106" t="str">
        <x:v>0</x:v>
      </x:c>
      <x:c r="H5" s="104" t="str">
        <x:v>假设基线值</x:v>
      </x:c>
      <x:c r="I5" s="104" t="str">
        <x:v>除标明参数外，其余BVD、源阻抗和匹配网络参数保持基准值</x:v>
      </x:c>
    </x:row>
    <x:row r="6">
      <x:c r="A6" s="104" t="str">
        <x:v>CASE_000_BASELINE</x:v>
      </x:c>
      <x:c r="B6" s="104" t="str">
        <x:v>基准</x:v>
      </x:c>
      <x:c r="C6" s="104" t="str">
        <x:v>基准</x:v>
      </x:c>
      <x:c r="D6" s="104" t="str">
        <x:v>fs_derived_Hz</x:v>
      </x:c>
      <x:c r="E6" s="105" t="str">
        <x:v>899999.5720449019</x:v>
      </x:c>
      <x:c r="F6" s="106" t="str">
        <x:v>0</x:v>
      </x:c>
      <x:c r="G6" s="106" t="str">
        <x:v>0</x:v>
      </x:c>
      <x:c r="H6" s="104" t="str">
        <x:v>假设基线值</x:v>
      </x:c>
      <x:c r="I6" s="104" t="str">
        <x:v>除标明参数外，其余BVD、源阻抗和匹配网络参数保持基准值</x:v>
      </x:c>
    </x:row>
    <x:row r="7">
      <x:c r="A7" s="104" t="str">
        <x:v>CASE_000_BASELINE</x:v>
      </x:c>
      <x:c r="B7" s="104" t="str">
        <x:v>基准</x:v>
      </x:c>
      <x:c r="C7" s="104" t="str">
        <x:v>基准</x:v>
      </x:c>
      <x:c r="D7" s="104" t="str">
        <x:v>Rs_ohm</x:v>
      </x:c>
      <x:c r="E7" s="105" t="str">
        <x:v>50.0</x:v>
      </x:c>
      <x:c r="F7" s="106" t="str">
        <x:v>0</x:v>
      </x:c>
      <x:c r="G7" s="106" t="str">
        <x:v>0</x:v>
      </x:c>
      <x:c r="H7" s="104" t="str">
        <x:v>假设基线值</x:v>
      </x:c>
      <x:c r="I7" s="104" t="str">
        <x:v>除标明参数外，其余BVD、源阻抗和匹配网络参数保持基准值</x:v>
      </x:c>
    </x:row>
    <x:row r="8">
      <x:c r="A8" s="104" t="str">
        <x:v>CASE_000_BASELINE</x:v>
      </x:c>
      <x:c r="B8" s="104" t="str">
        <x:v>基准</x:v>
      </x:c>
      <x:c r="C8" s="104" t="str">
        <x:v>基准</x:v>
      </x:c>
      <x:c r="D8" s="104" t="str">
        <x:v>Ls_H</x:v>
      </x:c>
      <x:c r="E8" s="105" t="str">
        <x:v>0.00012473</x:v>
      </x:c>
      <x:c r="F8" s="106" t="str">
        <x:v>0</x:v>
      </x:c>
      <x:c r="G8" s="106" t="str">
        <x:v>0</x:v>
      </x:c>
      <x:c r="H8" s="104" t="str">
        <x:v>假设基线值</x:v>
      </x:c>
      <x:c r="I8" s="104" t="str">
        <x:v>除标明参数外，其余BVD、源阻抗和匹配网络参数保持基准值</x:v>
      </x:c>
    </x:row>
    <x:row r="9">
      <x:c r="A9" s="104" t="str">
        <x:v>CASE_000_BASELINE</x:v>
      </x:c>
      <x:c r="B9" s="104" t="str">
        <x:v>基准</x:v>
      </x:c>
      <x:c r="C9" s="104" t="str">
        <x:v>基准</x:v>
      </x:c>
      <x:c r="D9" s="104" t="str">
        <x:v>Cp_F</x:v>
      </x:c>
      <x:c r="E9" s="105" t="str">
        <x:v>2.4796e-10</x:v>
      </x:c>
      <x:c r="F9" s="106" t="str">
        <x:v>0</x:v>
      </x:c>
      <x:c r="G9" s="106" t="str">
        <x:v>0</x:v>
      </x:c>
      <x:c r="H9" s="104" t="str">
        <x:v>假设基线值</x:v>
      </x:c>
      <x:c r="I9" s="104" t="str">
        <x:v>除标明参数外，其余BVD、源阻抗和匹配网络参数保持基准值</x:v>
      </x:c>
    </x:row>
    <x:row r="10">
      <x:c r="A10" s="104" t="str">
        <x:v>CASE_000_BASELINE</x:v>
      </x:c>
      <x:c r="B10" s="104" t="str">
        <x:v>基准</x:v>
      </x:c>
      <x:c r="C10" s="104" t="str">
        <x:v>基准</x:v>
      </x:c>
      <x:c r="D10" s="104" t="str">
        <x:v>inductor_Q</x:v>
      </x:c>
      <x:c r="E10" s="105" t="str">
        <x:v>100.0</x:v>
      </x:c>
      <x:c r="F10" s="106" t="str">
        <x:v>0</x:v>
      </x:c>
      <x:c r="G10" s="106" t="str">
        <x:v>0</x:v>
      </x:c>
      <x:c r="H10" s="104" t="str">
        <x:v>假设基线值</x:v>
      </x:c>
      <x:c r="I10" s="104" t="str">
        <x:v>除标明参数外，其余BVD、源阻抗和匹配网络参数保持基准值</x:v>
      </x:c>
    </x:row>
    <x:row r="11">
      <x:c r="A11" s="104" t="str">
        <x:v>CASE_000_BASELINE</x:v>
      </x:c>
      <x:c r="B11" s="104" t="str">
        <x:v>基准</x:v>
      </x:c>
      <x:c r="C11" s="104" t="str">
        <x:v>基准</x:v>
      </x:c>
      <x:c r="D11" s="104" t="str">
        <x:v>inductor_ESR_at_0p9MHz_ohm</x:v>
      </x:c>
      <x:c r="E11" s="105" t="str">
        <x:v>7.053315330280588</x:v>
      </x:c>
      <x:c r="F11" s="106" t="str">
        <x:v>0</x:v>
      </x:c>
      <x:c r="G11" s="106" t="str">
        <x:v>0</x:v>
      </x:c>
      <x:c r="H11" s="104" t="str">
        <x:v>假设基线值</x:v>
      </x:c>
      <x:c r="I11" s="104" t="str">
        <x:v>除标明参数外，其余BVD、源阻抗和匹配网络参数保持基准值</x:v>
      </x:c>
    </x:row>
    <x:row r="12">
      <x:c r="A12" s="68" t="str">
        <x:v>CASE_110_C0_P10</x:v>
      </x:c>
      <x:c r="B12" s="68" t="str">
        <x:v>C0</x:v>
      </x:c>
      <x:c r="C12" s="68" t="str">
        <x:v>+10%</x:v>
      </x:c>
      <x:c r="D12" s="68" t="str">
        <x:v>C0_F</x:v>
      </x:c>
      <x:c r="E12" s="92" t="str">
        <x:v>1.6500000000000002e-12</x:v>
      </x:c>
      <x:c r="F12" s="98" t="str">
        <x:v>1</x:v>
      </x:c>
      <x:c r="G12" s="98" t="str">
        <x:v>0</x:v>
      </x:c>
      <x:c r="H12" s="68" t="str">
        <x:v>扫描变量</x:v>
      </x:c>
      <x:c r="I12" s="68" t="str">
        <x:v>除标明参数外，其余BVD、源阻抗和匹配网络参数保持基准值</x:v>
      </x:c>
    </x:row>
    <x:row r="13">
      <x:c r="A13" s="68" t="str">
        <x:v>CASE_110_C0_P10</x:v>
      </x:c>
      <x:c r="B13" s="68" t="str">
        <x:v>C0</x:v>
      </x:c>
      <x:c r="C13" s="68" t="str">
        <x:v>+10%</x:v>
      </x:c>
      <x:c r="D13" s="68" t="str">
        <x:v>Rm_ohm</x:v>
      </x:c>
      <x:c r="E13" s="92" t="str">
        <x:v>10000.0</x:v>
      </x:c>
      <x:c r="F13" s="98" t="str">
        <x:v>0</x:v>
      </x:c>
      <x:c r="G13" s="98" t="str">
        <x:v>0</x:v>
      </x:c>
      <x:c r="H13" s="68" t="str">
        <x:v>扫描变量</x:v>
      </x:c>
      <x:c r="I13" s="68" t="str">
        <x:v>除标明参数外，其余BVD、源阻抗和匹配网络参数保持基准值</x:v>
      </x:c>
    </x:row>
    <x:row r="14">
      <x:c r="A14" s="68" t="str">
        <x:v>CASE_110_C0_P10</x:v>
      </x:c>
      <x:c r="B14" s="68" t="str">
        <x:v>C0</x:v>
      </x:c>
      <x:c r="C14" s="68" t="str">
        <x:v>+10%</x:v>
      </x:c>
      <x:c r="D14" s="68" t="str">
        <x:v>Lm_H</x:v>
      </x:c>
      <x:c r="E14" s="92" t="str">
        <x:v>0.1</x:v>
      </x:c>
      <x:c r="F14" s="98" t="str">
        <x:v>0</x:v>
      </x:c>
      <x:c r="G14" s="98" t="str">
        <x:v>0</x:v>
      </x:c>
      <x:c r="H14" s="68" t="str">
        <x:v>扫描变量</x:v>
      </x:c>
      <x:c r="I14" s="68" t="str">
        <x:v>除标明参数外，其余BVD、源阻抗和匹配网络参数保持基准值</x:v>
      </x:c>
    </x:row>
    <x:row r="15">
      <x:c r="A15" s="68" t="str">
        <x:v>CASE_110_C0_P10</x:v>
      </x:c>
      <x:c r="B15" s="68" t="str">
        <x:v>C0</x:v>
      </x:c>
      <x:c r="C15" s="68" t="str">
        <x:v>+10%</x:v>
      </x:c>
      <x:c r="D15" s="68" t="str">
        <x:v>Cm_F</x:v>
      </x:c>
      <x:c r="E15" s="92" t="str">
        <x:v>3.1272e-13</x:v>
      </x:c>
      <x:c r="F15" s="98" t="str">
        <x:v>0</x:v>
      </x:c>
      <x:c r="G15" s="98" t="str">
        <x:v>0</x:v>
      </x:c>
      <x:c r="H15" s="68" t="str">
        <x:v>扫描变量</x:v>
      </x:c>
      <x:c r="I15" s="68" t="str">
        <x:v>除标明参数外，其余BVD、源阻抗和匹配网络参数保持基准值</x:v>
      </x:c>
    </x:row>
    <x:row r="16">
      <x:c r="A16" s="68" t="str">
        <x:v>CASE_110_C0_P10</x:v>
      </x:c>
      <x:c r="B16" s="68" t="str">
        <x:v>C0</x:v>
      </x:c>
      <x:c r="C16" s="68" t="str">
        <x:v>+10%</x:v>
      </x:c>
      <x:c r="D16" s="68" t="str">
        <x:v>fs_derived_Hz</x:v>
      </x:c>
      <x:c r="E16" s="92" t="str">
        <x:v>899999.5720449019</x:v>
      </x:c>
      <x:c r="F16" s="98" t="str">
        <x:v>0</x:v>
      </x:c>
      <x:c r="G16" s="98" t="str">
        <x:v>0</x:v>
      </x:c>
      <x:c r="H16" s="68" t="str">
        <x:v>扫描变量</x:v>
      </x:c>
      <x:c r="I16" s="68" t="str">
        <x:v>除标明参数外，其余BVD、源阻抗和匹配网络参数保持基准值</x:v>
      </x:c>
    </x:row>
    <x:row r="17">
      <x:c r="A17" s="68" t="str">
        <x:v>CASE_110_C0_P10</x:v>
      </x:c>
      <x:c r="B17" s="68" t="str">
        <x:v>C0</x:v>
      </x:c>
      <x:c r="C17" s="68" t="str">
        <x:v>+10%</x:v>
      </x:c>
      <x:c r="D17" s="68" t="str">
        <x:v>Rs_ohm</x:v>
      </x:c>
      <x:c r="E17" s="92" t="str">
        <x:v>50.0</x:v>
      </x:c>
      <x:c r="F17" s="98" t="str">
        <x:v>0</x:v>
      </x:c>
      <x:c r="G17" s="98" t="str">
        <x:v>0</x:v>
      </x:c>
      <x:c r="H17" s="68" t="str">
        <x:v>扫描变量</x:v>
      </x:c>
      <x:c r="I17" s="68" t="str">
        <x:v>除标明参数外，其余BVD、源阻抗和匹配网络参数保持基准值</x:v>
      </x:c>
    </x:row>
    <x:row r="18">
      <x:c r="A18" s="68" t="str">
        <x:v>CASE_110_C0_P10</x:v>
      </x:c>
      <x:c r="B18" s="68" t="str">
        <x:v>C0</x:v>
      </x:c>
      <x:c r="C18" s="68" t="str">
        <x:v>+10%</x:v>
      </x:c>
      <x:c r="D18" s="68" t="str">
        <x:v>Ls_H</x:v>
      </x:c>
      <x:c r="E18" s="92" t="str">
        <x:v>0.00012473</x:v>
      </x:c>
      <x:c r="F18" s="98" t="str">
        <x:v>0</x:v>
      </x:c>
      <x:c r="G18" s="98" t="str">
        <x:v>0</x:v>
      </x:c>
      <x:c r="H18" s="68" t="str">
        <x:v>扫描变量</x:v>
      </x:c>
      <x:c r="I18" s="68" t="str">
        <x:v>除标明参数外，其余BVD、源阻抗和匹配网络参数保持基准值</x:v>
      </x:c>
    </x:row>
    <x:row r="19">
      <x:c r="A19" s="68" t="str">
        <x:v>CASE_110_C0_P10</x:v>
      </x:c>
      <x:c r="B19" s="68" t="str">
        <x:v>C0</x:v>
      </x:c>
      <x:c r="C19" s="68" t="str">
        <x:v>+10%</x:v>
      </x:c>
      <x:c r="D19" s="68" t="str">
        <x:v>Cp_F</x:v>
      </x:c>
      <x:c r="E19" s="92" t="str">
        <x:v>2.4796e-10</x:v>
      </x:c>
      <x:c r="F19" s="98" t="str">
        <x:v>0</x:v>
      </x:c>
      <x:c r="G19" s="98" t="str">
        <x:v>0</x:v>
      </x:c>
      <x:c r="H19" s="68" t="str">
        <x:v>扫描变量</x:v>
      </x:c>
      <x:c r="I19" s="68" t="str">
        <x:v>除标明参数外，其余BVD、源阻抗和匹配网络参数保持基准值</x:v>
      </x:c>
    </x:row>
    <x:row r="20">
      <x:c r="A20" s="68" t="str">
        <x:v>CASE_110_C0_P10</x:v>
      </x:c>
      <x:c r="B20" s="68" t="str">
        <x:v>C0</x:v>
      </x:c>
      <x:c r="C20" s="68" t="str">
        <x:v>+10%</x:v>
      </x:c>
      <x:c r="D20" s="68" t="str">
        <x:v>inductor_Q</x:v>
      </x:c>
      <x:c r="E20" s="92" t="str">
        <x:v>100.0</x:v>
      </x:c>
      <x:c r="F20" s="98" t="str">
        <x:v>0</x:v>
      </x:c>
      <x:c r="G20" s="98" t="str">
        <x:v>0</x:v>
      </x:c>
      <x:c r="H20" s="68" t="str">
        <x:v>扫描变量</x:v>
      </x:c>
      <x:c r="I20" s="68" t="str">
        <x:v>除标明参数外，其余BVD、源阻抗和匹配网络参数保持基准值</x:v>
      </x:c>
    </x:row>
    <x:row r="21">
      <x:c r="A21" s="68" t="str">
        <x:v>CASE_110_C0_P10</x:v>
      </x:c>
      <x:c r="B21" s="68" t="str">
        <x:v>C0</x:v>
      </x:c>
      <x:c r="C21" s="68" t="str">
        <x:v>+10%</x:v>
      </x:c>
      <x:c r="D21" s="68" t="str">
        <x:v>inductor_ESR_at_0p9MHz_ohm</x:v>
      </x:c>
      <x:c r="E21" s="92" t="str">
        <x:v>7.053315330280588</x:v>
      </x:c>
      <x:c r="F21" s="98" t="str">
        <x:v>0</x:v>
      </x:c>
      <x:c r="G21" s="98" t="str">
        <x:v>0</x:v>
      </x:c>
      <x:c r="H21" s="68" t="str">
        <x:v>扫描变量</x:v>
      </x:c>
      <x:c r="I21" s="68" t="str">
        <x:v>除标明参数外，其余BVD、源阻抗和匹配网络参数保持基准值</x:v>
      </x:c>
    </x:row>
    <x:row r="22">
      <x:c r="A22" s="68" t="str">
        <x:v>CASE_120_C0_P20</x:v>
      </x:c>
      <x:c r="B22" s="68" t="str">
        <x:v>C0</x:v>
      </x:c>
      <x:c r="C22" s="68" t="str">
        <x:v>+20%</x:v>
      </x:c>
      <x:c r="D22" s="68" t="str">
        <x:v>C0_F</x:v>
      </x:c>
      <x:c r="E22" s="92" t="str">
        <x:v>1.8e-12</x:v>
      </x:c>
      <x:c r="F22" s="98" t="str">
        <x:v>1</x:v>
      </x:c>
      <x:c r="G22" s="98" t="str">
        <x:v>0</x:v>
      </x:c>
      <x:c r="H22" s="68" t="str">
        <x:v>扫描变量</x:v>
      </x:c>
      <x:c r="I22" s="68" t="str">
        <x:v>除标明参数外，其余BVD、源阻抗和匹配网络参数保持基准值</x:v>
      </x:c>
    </x:row>
    <x:row r="23">
      <x:c r="A23" s="68" t="str">
        <x:v>CASE_120_C0_P20</x:v>
      </x:c>
      <x:c r="B23" s="68" t="str">
        <x:v>C0</x:v>
      </x:c>
      <x:c r="C23" s="68" t="str">
        <x:v>+20%</x:v>
      </x:c>
      <x:c r="D23" s="68" t="str">
        <x:v>Rm_ohm</x:v>
      </x:c>
      <x:c r="E23" s="92" t="str">
        <x:v>10000.0</x:v>
      </x:c>
      <x:c r="F23" s="98" t="str">
        <x:v>0</x:v>
      </x:c>
      <x:c r="G23" s="98" t="str">
        <x:v>0</x:v>
      </x:c>
      <x:c r="H23" s="68" t="str">
        <x:v>扫描变量</x:v>
      </x:c>
      <x:c r="I23" s="68" t="str">
        <x:v>除标明参数外，其余BVD、源阻抗和匹配网络参数保持基准值</x:v>
      </x:c>
    </x:row>
    <x:row r="24">
      <x:c r="A24" s="68" t="str">
        <x:v>CASE_120_C0_P20</x:v>
      </x:c>
      <x:c r="B24" s="68" t="str">
        <x:v>C0</x:v>
      </x:c>
      <x:c r="C24" s="68" t="str">
        <x:v>+20%</x:v>
      </x:c>
      <x:c r="D24" s="68" t="str">
        <x:v>Lm_H</x:v>
      </x:c>
      <x:c r="E24" s="92" t="str">
        <x:v>0.1</x:v>
      </x:c>
      <x:c r="F24" s="98" t="str">
        <x:v>0</x:v>
      </x:c>
      <x:c r="G24" s="98" t="str">
        <x:v>0</x:v>
      </x:c>
      <x:c r="H24" s="68" t="str">
        <x:v>扫描变量</x:v>
      </x:c>
      <x:c r="I24" s="68" t="str">
        <x:v>除标明参数外，其余BVD、源阻抗和匹配网络参数保持基准值</x:v>
      </x:c>
    </x:row>
    <x:row r="25">
      <x:c r="A25" s="68" t="str">
        <x:v>CASE_120_C0_P20</x:v>
      </x:c>
      <x:c r="B25" s="68" t="str">
        <x:v>C0</x:v>
      </x:c>
      <x:c r="C25" s="68" t="str">
        <x:v>+20%</x:v>
      </x:c>
      <x:c r="D25" s="68" t="str">
        <x:v>Cm_F</x:v>
      </x:c>
      <x:c r="E25" s="92" t="str">
        <x:v>3.1272e-13</x:v>
      </x:c>
      <x:c r="F25" s="98" t="str">
        <x:v>0</x:v>
      </x:c>
      <x:c r="G25" s="98" t="str">
        <x:v>0</x:v>
      </x:c>
      <x:c r="H25" s="68" t="str">
        <x:v>扫描变量</x:v>
      </x:c>
      <x:c r="I25" s="68" t="str">
        <x:v>除标明参数外，其余BVD、源阻抗和匹配网络参数保持基准值</x:v>
      </x:c>
    </x:row>
    <x:row r="26">
      <x:c r="A26" s="68" t="str">
        <x:v>CASE_120_C0_P20</x:v>
      </x:c>
      <x:c r="B26" s="68" t="str">
        <x:v>C0</x:v>
      </x:c>
      <x:c r="C26" s="68" t="str">
        <x:v>+20%</x:v>
      </x:c>
      <x:c r="D26" s="68" t="str">
        <x:v>fs_derived_Hz</x:v>
      </x:c>
      <x:c r="E26" s="92" t="str">
        <x:v>899999.5720449019</x:v>
      </x:c>
      <x:c r="F26" s="98" t="str">
        <x:v>0</x:v>
      </x:c>
      <x:c r="G26" s="98" t="str">
        <x:v>0</x:v>
      </x:c>
      <x:c r="H26" s="68" t="str">
        <x:v>扫描变量</x:v>
      </x:c>
      <x:c r="I26" s="68" t="str">
        <x:v>除标明参数外，其余BVD、源阻抗和匹配网络参数保持基准值</x:v>
      </x:c>
    </x:row>
    <x:row r="27">
      <x:c r="A27" s="68" t="str">
        <x:v>CASE_120_C0_P20</x:v>
      </x:c>
      <x:c r="B27" s="68" t="str">
        <x:v>C0</x:v>
      </x:c>
      <x:c r="C27" s="68" t="str">
        <x:v>+20%</x:v>
      </x:c>
      <x:c r="D27" s="68" t="str">
        <x:v>Rs_ohm</x:v>
      </x:c>
      <x:c r="E27" s="92" t="str">
        <x:v>50.0</x:v>
      </x:c>
      <x:c r="F27" s="98" t="str">
        <x:v>0</x:v>
      </x:c>
      <x:c r="G27" s="98" t="str">
        <x:v>0</x:v>
      </x:c>
      <x:c r="H27" s="68" t="str">
        <x:v>扫描变量</x:v>
      </x:c>
      <x:c r="I27" s="68" t="str">
        <x:v>除标明参数外，其余BVD、源阻抗和匹配网络参数保持基准值</x:v>
      </x:c>
    </x:row>
    <x:row r="28">
      <x:c r="A28" s="68" t="str">
        <x:v>CASE_120_C0_P20</x:v>
      </x:c>
      <x:c r="B28" s="68" t="str">
        <x:v>C0</x:v>
      </x:c>
      <x:c r="C28" s="68" t="str">
        <x:v>+20%</x:v>
      </x:c>
      <x:c r="D28" s="68" t="str">
        <x:v>Ls_H</x:v>
      </x:c>
      <x:c r="E28" s="92" t="str">
        <x:v>0.00012473</x:v>
      </x:c>
      <x:c r="F28" s="98" t="str">
        <x:v>0</x:v>
      </x:c>
      <x:c r="G28" s="98" t="str">
        <x:v>0</x:v>
      </x:c>
      <x:c r="H28" s="68" t="str">
        <x:v>扫描变量</x:v>
      </x:c>
      <x:c r="I28" s="68" t="str">
        <x:v>除标明参数外，其余BVD、源阻抗和匹配网络参数保持基准值</x:v>
      </x:c>
    </x:row>
    <x:row r="29">
      <x:c r="A29" s="68" t="str">
        <x:v>CASE_120_C0_P20</x:v>
      </x:c>
      <x:c r="B29" s="68" t="str">
        <x:v>C0</x:v>
      </x:c>
      <x:c r="C29" s="68" t="str">
        <x:v>+20%</x:v>
      </x:c>
      <x:c r="D29" s="68" t="str">
        <x:v>Cp_F</x:v>
      </x:c>
      <x:c r="E29" s="92" t="str">
        <x:v>2.4796e-10</x:v>
      </x:c>
      <x:c r="F29" s="98" t="str">
        <x:v>0</x:v>
      </x:c>
      <x:c r="G29" s="98" t="str">
        <x:v>0</x:v>
      </x:c>
      <x:c r="H29" s="68" t="str">
        <x:v>扫描变量</x:v>
      </x:c>
      <x:c r="I29" s="68" t="str">
        <x:v>除标明参数外，其余BVD、源阻抗和匹配网络参数保持基准值</x:v>
      </x:c>
    </x:row>
    <x:row r="30">
      <x:c r="A30" s="68" t="str">
        <x:v>CASE_120_C0_P20</x:v>
      </x:c>
      <x:c r="B30" s="68" t="str">
        <x:v>C0</x:v>
      </x:c>
      <x:c r="C30" s="68" t="str">
        <x:v>+20%</x:v>
      </x:c>
      <x:c r="D30" s="68" t="str">
        <x:v>inductor_Q</x:v>
      </x:c>
      <x:c r="E30" s="92" t="str">
        <x:v>100.0</x:v>
      </x:c>
      <x:c r="F30" s="98" t="str">
        <x:v>0</x:v>
      </x:c>
      <x:c r="G30" s="98" t="str">
        <x:v>0</x:v>
      </x:c>
      <x:c r="H30" s="68" t="str">
        <x:v>扫描变量</x:v>
      </x:c>
      <x:c r="I30" s="68" t="str">
        <x:v>除标明参数外，其余BVD、源阻抗和匹配网络参数保持基准值</x:v>
      </x:c>
    </x:row>
    <x:row r="31">
      <x:c r="A31" s="68" t="str">
        <x:v>CASE_120_C0_P20</x:v>
      </x:c>
      <x:c r="B31" s="68" t="str">
        <x:v>C0</x:v>
      </x:c>
      <x:c r="C31" s="68" t="str">
        <x:v>+20%</x:v>
      </x:c>
      <x:c r="D31" s="68" t="str">
        <x:v>inductor_ESR_at_0p9MHz_ohm</x:v>
      </x:c>
      <x:c r="E31" s="92" t="str">
        <x:v>7.053315330280588</x:v>
      </x:c>
      <x:c r="F31" s="98" t="str">
        <x:v>0</x:v>
      </x:c>
      <x:c r="G31" s="98" t="str">
        <x:v>0</x:v>
      </x:c>
      <x:c r="H31" s="68" t="str">
        <x:v>扫描变量</x:v>
      </x:c>
      <x:c r="I31" s="68" t="str">
        <x:v>除标明参数外，其余BVD、源阻抗和匹配网络参数保持基准值</x:v>
      </x:c>
    </x:row>
    <x:row r="32">
      <x:c r="A32" s="68" t="str">
        <x:v>CASE_130_C0_P30</x:v>
      </x:c>
      <x:c r="B32" s="68" t="str">
        <x:v>C0</x:v>
      </x:c>
      <x:c r="C32" s="68" t="str">
        <x:v>+30%</x:v>
      </x:c>
      <x:c r="D32" s="68" t="str">
        <x:v>C0_F</x:v>
      </x:c>
      <x:c r="E32" s="92" t="str">
        <x:v>1.95e-12</x:v>
      </x:c>
      <x:c r="F32" s="98" t="str">
        <x:v>1</x:v>
      </x:c>
      <x:c r="G32" s="98" t="str">
        <x:v>0</x:v>
      </x:c>
      <x:c r="H32" s="68" t="str">
        <x:v>扫描变量</x:v>
      </x:c>
      <x:c r="I32" s="68" t="str">
        <x:v>除标明参数外，其余BVD、源阻抗和匹配网络参数保持基准值</x:v>
      </x:c>
    </x:row>
    <x:row r="33">
      <x:c r="A33" s="68" t="str">
        <x:v>CASE_130_C0_P30</x:v>
      </x:c>
      <x:c r="B33" s="68" t="str">
        <x:v>C0</x:v>
      </x:c>
      <x:c r="C33" s="68" t="str">
        <x:v>+30%</x:v>
      </x:c>
      <x:c r="D33" s="68" t="str">
        <x:v>Rm_ohm</x:v>
      </x:c>
      <x:c r="E33" s="92" t="str">
        <x:v>10000.0</x:v>
      </x:c>
      <x:c r="F33" s="98" t="str">
        <x:v>0</x:v>
      </x:c>
      <x:c r="G33" s="98" t="str">
        <x:v>0</x:v>
      </x:c>
      <x:c r="H33" s="68" t="str">
        <x:v>扫描变量</x:v>
      </x:c>
      <x:c r="I33" s="68" t="str">
        <x:v>除标明参数外，其余BVD、源阻抗和匹配网络参数保持基准值</x:v>
      </x:c>
    </x:row>
    <x:row r="34">
      <x:c r="A34" s="68" t="str">
        <x:v>CASE_130_C0_P30</x:v>
      </x:c>
      <x:c r="B34" s="68" t="str">
        <x:v>C0</x:v>
      </x:c>
      <x:c r="C34" s="68" t="str">
        <x:v>+30%</x:v>
      </x:c>
      <x:c r="D34" s="68" t="str">
        <x:v>Lm_H</x:v>
      </x:c>
      <x:c r="E34" s="92" t="str">
        <x:v>0.1</x:v>
      </x:c>
      <x:c r="F34" s="98" t="str">
        <x:v>0</x:v>
      </x:c>
      <x:c r="G34" s="98" t="str">
        <x:v>0</x:v>
      </x:c>
      <x:c r="H34" s="68" t="str">
        <x:v>扫描变量</x:v>
      </x:c>
      <x:c r="I34" s="68" t="str">
        <x:v>除标明参数外，其余BVD、源阻抗和匹配网络参数保持基准值</x:v>
      </x:c>
    </x:row>
    <x:row r="35">
      <x:c r="A35" s="68" t="str">
        <x:v>CASE_130_C0_P30</x:v>
      </x:c>
      <x:c r="B35" s="68" t="str">
        <x:v>C0</x:v>
      </x:c>
      <x:c r="C35" s="68" t="str">
        <x:v>+30%</x:v>
      </x:c>
      <x:c r="D35" s="68" t="str">
        <x:v>Cm_F</x:v>
      </x:c>
      <x:c r="E35" s="92" t="str">
        <x:v>3.1272e-13</x:v>
      </x:c>
      <x:c r="F35" s="98" t="str">
        <x:v>0</x:v>
      </x:c>
      <x:c r="G35" s="98" t="str">
        <x:v>0</x:v>
      </x:c>
      <x:c r="H35" s="68" t="str">
        <x:v>扫描变量</x:v>
      </x:c>
      <x:c r="I35" s="68" t="str">
        <x:v>除标明参数外，其余BVD、源阻抗和匹配网络参数保持基准值</x:v>
      </x:c>
    </x:row>
    <x:row r="36">
      <x:c r="A36" s="68" t="str">
        <x:v>CASE_130_C0_P30</x:v>
      </x:c>
      <x:c r="B36" s="68" t="str">
        <x:v>C0</x:v>
      </x:c>
      <x:c r="C36" s="68" t="str">
        <x:v>+30%</x:v>
      </x:c>
      <x:c r="D36" s="68" t="str">
        <x:v>fs_derived_Hz</x:v>
      </x:c>
      <x:c r="E36" s="92" t="str">
        <x:v>899999.5720449019</x:v>
      </x:c>
      <x:c r="F36" s="98" t="str">
        <x:v>0</x:v>
      </x:c>
      <x:c r="G36" s="98" t="str">
        <x:v>0</x:v>
      </x:c>
      <x:c r="H36" s="68" t="str">
        <x:v>扫描变量</x:v>
      </x:c>
      <x:c r="I36" s="68" t="str">
        <x:v>除标明参数外，其余BVD、源阻抗和匹配网络参数保持基准值</x:v>
      </x:c>
    </x:row>
    <x:row r="37">
      <x:c r="A37" s="68" t="str">
        <x:v>CASE_130_C0_P30</x:v>
      </x:c>
      <x:c r="B37" s="68" t="str">
        <x:v>C0</x:v>
      </x:c>
      <x:c r="C37" s="68" t="str">
        <x:v>+30%</x:v>
      </x:c>
      <x:c r="D37" s="68" t="str">
        <x:v>Rs_ohm</x:v>
      </x:c>
      <x:c r="E37" s="92" t="str">
        <x:v>50.0</x:v>
      </x:c>
      <x:c r="F37" s="98" t="str">
        <x:v>0</x:v>
      </x:c>
      <x:c r="G37" s="98" t="str">
        <x:v>0</x:v>
      </x:c>
      <x:c r="H37" s="68" t="str">
        <x:v>扫描变量</x:v>
      </x:c>
      <x:c r="I37" s="68" t="str">
        <x:v>除标明参数外，其余BVD、源阻抗和匹配网络参数保持基准值</x:v>
      </x:c>
    </x:row>
    <x:row r="38">
      <x:c r="A38" s="68" t="str">
        <x:v>CASE_130_C0_P30</x:v>
      </x:c>
      <x:c r="B38" s="68" t="str">
        <x:v>C0</x:v>
      </x:c>
      <x:c r="C38" s="68" t="str">
        <x:v>+30%</x:v>
      </x:c>
      <x:c r="D38" s="68" t="str">
        <x:v>Ls_H</x:v>
      </x:c>
      <x:c r="E38" s="92" t="str">
        <x:v>0.00012473</x:v>
      </x:c>
      <x:c r="F38" s="98" t="str">
        <x:v>0</x:v>
      </x:c>
      <x:c r="G38" s="98" t="str">
        <x:v>0</x:v>
      </x:c>
      <x:c r="H38" s="68" t="str">
        <x:v>扫描变量</x:v>
      </x:c>
      <x:c r="I38" s="68" t="str">
        <x:v>除标明参数外，其余BVD、源阻抗和匹配网络参数保持基准值</x:v>
      </x:c>
    </x:row>
    <x:row r="39">
      <x:c r="A39" s="68" t="str">
        <x:v>CASE_130_C0_P30</x:v>
      </x:c>
      <x:c r="B39" s="68" t="str">
        <x:v>C0</x:v>
      </x:c>
      <x:c r="C39" s="68" t="str">
        <x:v>+30%</x:v>
      </x:c>
      <x:c r="D39" s="68" t="str">
        <x:v>Cp_F</x:v>
      </x:c>
      <x:c r="E39" s="92" t="str">
        <x:v>2.4796e-10</x:v>
      </x:c>
      <x:c r="F39" s="98" t="str">
        <x:v>0</x:v>
      </x:c>
      <x:c r="G39" s="98" t="str">
        <x:v>0</x:v>
      </x:c>
      <x:c r="H39" s="68" t="str">
        <x:v>扫描变量</x:v>
      </x:c>
      <x:c r="I39" s="68" t="str">
        <x:v>除标明参数外，其余BVD、源阻抗和匹配网络参数保持基准值</x:v>
      </x:c>
    </x:row>
    <x:row r="40">
      <x:c r="A40" s="68" t="str">
        <x:v>CASE_130_C0_P30</x:v>
      </x:c>
      <x:c r="B40" s="68" t="str">
        <x:v>C0</x:v>
      </x:c>
      <x:c r="C40" s="68" t="str">
        <x:v>+30%</x:v>
      </x:c>
      <x:c r="D40" s="68" t="str">
        <x:v>inductor_Q</x:v>
      </x:c>
      <x:c r="E40" s="92" t="str">
        <x:v>100.0</x:v>
      </x:c>
      <x:c r="F40" s="98" t="str">
        <x:v>0</x:v>
      </x:c>
      <x:c r="G40" s="98" t="str">
        <x:v>0</x:v>
      </x:c>
      <x:c r="H40" s="68" t="str">
        <x:v>扫描变量</x:v>
      </x:c>
      <x:c r="I40" s="68" t="str">
        <x:v>除标明参数外，其余BVD、源阻抗和匹配网络参数保持基准值</x:v>
      </x:c>
    </x:row>
    <x:row r="41">
      <x:c r="A41" s="68" t="str">
        <x:v>CASE_130_C0_P30</x:v>
      </x:c>
      <x:c r="B41" s="68" t="str">
        <x:v>C0</x:v>
      </x:c>
      <x:c r="C41" s="68" t="str">
        <x:v>+30%</x:v>
      </x:c>
      <x:c r="D41" s="68" t="str">
        <x:v>inductor_ESR_at_0p9MHz_ohm</x:v>
      </x:c>
      <x:c r="E41" s="92" t="str">
        <x:v>7.053315330280588</x:v>
      </x:c>
      <x:c r="F41" s="98" t="str">
        <x:v>0</x:v>
      </x:c>
      <x:c r="G41" s="98" t="str">
        <x:v>0</x:v>
      </x:c>
      <x:c r="H41" s="68" t="str">
        <x:v>扫描变量</x:v>
      </x:c>
      <x:c r="I41" s="68" t="str">
        <x:v>除标明参数外，其余BVD、源阻抗和匹配网络参数保持基准值</x:v>
      </x:c>
    </x:row>
    <x:row r="42">
      <x:c r="A42" s="68" t="str">
        <x:v>CASE_210_RM_P15</x:v>
      </x:c>
      <x:c r="B42" s="68" t="str">
        <x:v>Rm</x:v>
      </x:c>
      <x:c r="C42" s="68" t="str">
        <x:v>+15%</x:v>
      </x:c>
      <x:c r="D42" s="68" t="str">
        <x:v>C0_F</x:v>
      </x:c>
      <x:c r="E42" s="92" t="str">
        <x:v>1.5e-12</x:v>
      </x:c>
      <x:c r="F42" s="98" t="str">
        <x:v>0</x:v>
      </x:c>
      <x:c r="G42" s="98" t="str">
        <x:v>0</x:v>
      </x:c>
      <x:c r="H42" s="68" t="str">
        <x:v>扫描变量</x:v>
      </x:c>
      <x:c r="I42" s="68" t="str">
        <x:v>除标明参数外，其余BVD、源阻抗和匹配网络参数保持基准值</x:v>
      </x:c>
    </x:row>
    <x:row r="43">
      <x:c r="A43" s="68" t="str">
        <x:v>CASE_210_RM_P15</x:v>
      </x:c>
      <x:c r="B43" s="68" t="str">
        <x:v>Rm</x:v>
      </x:c>
      <x:c r="C43" s="68" t="str">
        <x:v>+15%</x:v>
      </x:c>
      <x:c r="D43" s="68" t="str">
        <x:v>Rm_ohm</x:v>
      </x:c>
      <x:c r="E43" s="92" t="str">
        <x:v>11500.0</x:v>
      </x:c>
      <x:c r="F43" s="98" t="str">
        <x:v>1</x:v>
      </x:c>
      <x:c r="G43" s="98" t="str">
        <x:v>0</x:v>
      </x:c>
      <x:c r="H43" s="68" t="str">
        <x:v>扫描变量</x:v>
      </x:c>
      <x:c r="I43" s="68" t="str">
        <x:v>除标明参数外，其余BVD、源阻抗和匹配网络参数保持基准值</x:v>
      </x:c>
    </x:row>
    <x:row r="44">
      <x:c r="A44" s="68" t="str">
        <x:v>CASE_210_RM_P15</x:v>
      </x:c>
      <x:c r="B44" s="68" t="str">
        <x:v>Rm</x:v>
      </x:c>
      <x:c r="C44" s="68" t="str">
        <x:v>+15%</x:v>
      </x:c>
      <x:c r="D44" s="68" t="str">
        <x:v>Lm_H</x:v>
      </x:c>
      <x:c r="E44" s="92" t="str">
        <x:v>0.1</x:v>
      </x:c>
      <x:c r="F44" s="98" t="str">
        <x:v>0</x:v>
      </x:c>
      <x:c r="G44" s="98" t="str">
        <x:v>0</x:v>
      </x:c>
      <x:c r="H44" s="68" t="str">
        <x:v>扫描变量</x:v>
      </x:c>
      <x:c r="I44" s="68" t="str">
        <x:v>除标明参数外，其余BVD、源阻抗和匹配网络参数保持基准值</x:v>
      </x:c>
    </x:row>
    <x:row r="45">
      <x:c r="A45" s="68" t="str">
        <x:v>CASE_210_RM_P15</x:v>
      </x:c>
      <x:c r="B45" s="68" t="str">
        <x:v>Rm</x:v>
      </x:c>
      <x:c r="C45" s="68" t="str">
        <x:v>+15%</x:v>
      </x:c>
      <x:c r="D45" s="68" t="str">
        <x:v>Cm_F</x:v>
      </x:c>
      <x:c r="E45" s="92" t="str">
        <x:v>3.1272e-13</x:v>
      </x:c>
      <x:c r="F45" s="98" t="str">
        <x:v>0</x:v>
      </x:c>
      <x:c r="G45" s="98" t="str">
        <x:v>0</x:v>
      </x:c>
      <x:c r="H45" s="68" t="str">
        <x:v>扫描变量</x:v>
      </x:c>
      <x:c r="I45" s="68" t="str">
        <x:v>除标明参数外，其余BVD、源阻抗和匹配网络参数保持基准值</x:v>
      </x:c>
    </x:row>
    <x:row r="46">
      <x:c r="A46" s="68" t="str">
        <x:v>CASE_210_RM_P15</x:v>
      </x:c>
      <x:c r="B46" s="68" t="str">
        <x:v>Rm</x:v>
      </x:c>
      <x:c r="C46" s="68" t="str">
        <x:v>+15%</x:v>
      </x:c>
      <x:c r="D46" s="68" t="str">
        <x:v>fs_derived_Hz</x:v>
      </x:c>
      <x:c r="E46" s="92" t="str">
        <x:v>899999.5720449019</x:v>
      </x:c>
      <x:c r="F46" s="98" t="str">
        <x:v>0</x:v>
      </x:c>
      <x:c r="G46" s="98" t="str">
        <x:v>0</x:v>
      </x:c>
      <x:c r="H46" s="68" t="str">
        <x:v>扫描变量</x:v>
      </x:c>
      <x:c r="I46" s="68" t="str">
        <x:v>除标明参数外，其余BVD、源阻抗和匹配网络参数保持基准值</x:v>
      </x:c>
    </x:row>
    <x:row r="47">
      <x:c r="A47" s="68" t="str">
        <x:v>CASE_210_RM_P15</x:v>
      </x:c>
      <x:c r="B47" s="68" t="str">
        <x:v>Rm</x:v>
      </x:c>
      <x:c r="C47" s="68" t="str">
        <x:v>+15%</x:v>
      </x:c>
      <x:c r="D47" s="68" t="str">
        <x:v>Rs_ohm</x:v>
      </x:c>
      <x:c r="E47" s="92" t="str">
        <x:v>50.0</x:v>
      </x:c>
      <x:c r="F47" s="98" t="str">
        <x:v>0</x:v>
      </x:c>
      <x:c r="G47" s="98" t="str">
        <x:v>0</x:v>
      </x:c>
      <x:c r="H47" s="68" t="str">
        <x:v>扫描变量</x:v>
      </x:c>
      <x:c r="I47" s="68" t="str">
        <x:v>除标明参数外，其余BVD、源阻抗和匹配网络参数保持基准值</x:v>
      </x:c>
    </x:row>
    <x:row r="48">
      <x:c r="A48" s="68" t="str">
        <x:v>CASE_210_RM_P15</x:v>
      </x:c>
      <x:c r="B48" s="68" t="str">
        <x:v>Rm</x:v>
      </x:c>
      <x:c r="C48" s="68" t="str">
        <x:v>+15%</x:v>
      </x:c>
      <x:c r="D48" s="68" t="str">
        <x:v>Ls_H</x:v>
      </x:c>
      <x:c r="E48" s="92" t="str">
        <x:v>0.00012473</x:v>
      </x:c>
      <x:c r="F48" s="98" t="str">
        <x:v>0</x:v>
      </x:c>
      <x:c r="G48" s="98" t="str">
        <x:v>0</x:v>
      </x:c>
      <x:c r="H48" s="68" t="str">
        <x:v>扫描变量</x:v>
      </x:c>
      <x:c r="I48" s="68" t="str">
        <x:v>除标明参数外，其余BVD、源阻抗和匹配网络参数保持基准值</x:v>
      </x:c>
    </x:row>
    <x:row r="49">
      <x:c r="A49" s="68" t="str">
        <x:v>CASE_210_RM_P15</x:v>
      </x:c>
      <x:c r="B49" s="68" t="str">
        <x:v>Rm</x:v>
      </x:c>
      <x:c r="C49" s="68" t="str">
        <x:v>+15%</x:v>
      </x:c>
      <x:c r="D49" s="68" t="str">
        <x:v>Cp_F</x:v>
      </x:c>
      <x:c r="E49" s="92" t="str">
        <x:v>2.4796e-10</x:v>
      </x:c>
      <x:c r="F49" s="98" t="str">
        <x:v>0</x:v>
      </x:c>
      <x:c r="G49" s="98" t="str">
        <x:v>0</x:v>
      </x:c>
      <x:c r="H49" s="68" t="str">
        <x:v>扫描变量</x:v>
      </x:c>
      <x:c r="I49" s="68" t="str">
        <x:v>除标明参数外，其余BVD、源阻抗和匹配网络参数保持基准值</x:v>
      </x:c>
    </x:row>
    <x:row r="50">
      <x:c r="A50" s="68" t="str">
        <x:v>CASE_210_RM_P15</x:v>
      </x:c>
      <x:c r="B50" s="68" t="str">
        <x:v>Rm</x:v>
      </x:c>
      <x:c r="C50" s="68" t="str">
        <x:v>+15%</x:v>
      </x:c>
      <x:c r="D50" s="68" t="str">
        <x:v>inductor_Q</x:v>
      </x:c>
      <x:c r="E50" s="92" t="str">
        <x:v>100.0</x:v>
      </x:c>
      <x:c r="F50" s="98" t="str">
        <x:v>0</x:v>
      </x:c>
      <x:c r="G50" s="98" t="str">
        <x:v>0</x:v>
      </x:c>
      <x:c r="H50" s="68" t="str">
        <x:v>扫描变量</x:v>
      </x:c>
      <x:c r="I50" s="68" t="str">
        <x:v>除标明参数外，其余BVD、源阻抗和匹配网络参数保持基准值</x:v>
      </x:c>
    </x:row>
    <x:row r="51">
      <x:c r="A51" s="68" t="str">
        <x:v>CASE_210_RM_P15</x:v>
      </x:c>
      <x:c r="B51" s="68" t="str">
        <x:v>Rm</x:v>
      </x:c>
      <x:c r="C51" s="68" t="str">
        <x:v>+15%</x:v>
      </x:c>
      <x:c r="D51" s="68" t="str">
        <x:v>inductor_ESR_at_0p9MHz_ohm</x:v>
      </x:c>
      <x:c r="E51" s="92" t="str">
        <x:v>7.053315330280588</x:v>
      </x:c>
      <x:c r="F51" s="98" t="str">
        <x:v>0</x:v>
      </x:c>
      <x:c r="G51" s="98" t="str">
        <x:v>0</x:v>
      </x:c>
      <x:c r="H51" s="68" t="str">
        <x:v>扫描变量</x:v>
      </x:c>
      <x:c r="I51" s="68" t="str">
        <x:v>除标明参数外，其余BVD、源阻抗和匹配网络参数保持基准值</x:v>
      </x:c>
    </x:row>
    <x:row r="52">
      <x:c r="A52" s="68" t="str">
        <x:v>CASE_220_RM_P30</x:v>
      </x:c>
      <x:c r="B52" s="68" t="str">
        <x:v>Rm</x:v>
      </x:c>
      <x:c r="C52" s="68" t="str">
        <x:v>+30%</x:v>
      </x:c>
      <x:c r="D52" s="68" t="str">
        <x:v>C0_F</x:v>
      </x:c>
      <x:c r="E52" s="92" t="str">
        <x:v>1.5e-12</x:v>
      </x:c>
      <x:c r="F52" s="98" t="str">
        <x:v>0</x:v>
      </x:c>
      <x:c r="G52" s="98" t="str">
        <x:v>0</x:v>
      </x:c>
      <x:c r="H52" s="68" t="str">
        <x:v>扫描变量</x:v>
      </x:c>
      <x:c r="I52" s="68" t="str">
        <x:v>除标明参数外，其余BVD、源阻抗和匹配网络参数保持基准值</x:v>
      </x:c>
    </x:row>
    <x:row r="53">
      <x:c r="A53" s="68" t="str">
        <x:v>CASE_220_RM_P30</x:v>
      </x:c>
      <x:c r="B53" s="68" t="str">
        <x:v>Rm</x:v>
      </x:c>
      <x:c r="C53" s="68" t="str">
        <x:v>+30%</x:v>
      </x:c>
      <x:c r="D53" s="68" t="str">
        <x:v>Rm_ohm</x:v>
      </x:c>
      <x:c r="E53" s="92" t="str">
        <x:v>13000.0</x:v>
      </x:c>
      <x:c r="F53" s="98" t="str">
        <x:v>1</x:v>
      </x:c>
      <x:c r="G53" s="98" t="str">
        <x:v>0</x:v>
      </x:c>
      <x:c r="H53" s="68" t="str">
        <x:v>扫描变量</x:v>
      </x:c>
      <x:c r="I53" s="68" t="str">
        <x:v>除标明参数外，其余BVD、源阻抗和匹配网络参数保持基准值</x:v>
      </x:c>
    </x:row>
    <x:row r="54">
      <x:c r="A54" s="68" t="str">
        <x:v>CASE_220_RM_P30</x:v>
      </x:c>
      <x:c r="B54" s="68" t="str">
        <x:v>Rm</x:v>
      </x:c>
      <x:c r="C54" s="68" t="str">
        <x:v>+30%</x:v>
      </x:c>
      <x:c r="D54" s="68" t="str">
        <x:v>Lm_H</x:v>
      </x:c>
      <x:c r="E54" s="92" t="str">
        <x:v>0.1</x:v>
      </x:c>
      <x:c r="F54" s="98" t="str">
        <x:v>0</x:v>
      </x:c>
      <x:c r="G54" s="98" t="str">
        <x:v>0</x:v>
      </x:c>
      <x:c r="H54" s="68" t="str">
        <x:v>扫描变量</x:v>
      </x:c>
      <x:c r="I54" s="68" t="str">
        <x:v>除标明参数外，其余BVD、源阻抗和匹配网络参数保持基准值</x:v>
      </x:c>
    </x:row>
    <x:row r="55">
      <x:c r="A55" s="68" t="str">
        <x:v>CASE_220_RM_P30</x:v>
      </x:c>
      <x:c r="B55" s="68" t="str">
        <x:v>Rm</x:v>
      </x:c>
      <x:c r="C55" s="68" t="str">
        <x:v>+30%</x:v>
      </x:c>
      <x:c r="D55" s="68" t="str">
        <x:v>Cm_F</x:v>
      </x:c>
      <x:c r="E55" s="92" t="str">
        <x:v>3.1272e-13</x:v>
      </x:c>
      <x:c r="F55" s="98" t="str">
        <x:v>0</x:v>
      </x:c>
      <x:c r="G55" s="98" t="str">
        <x:v>0</x:v>
      </x:c>
      <x:c r="H55" s="68" t="str">
        <x:v>扫描变量</x:v>
      </x:c>
      <x:c r="I55" s="68" t="str">
        <x:v>除标明参数外，其余BVD、源阻抗和匹配网络参数保持基准值</x:v>
      </x:c>
    </x:row>
    <x:row r="56">
      <x:c r="A56" s="68" t="str">
        <x:v>CASE_220_RM_P30</x:v>
      </x:c>
      <x:c r="B56" s="68" t="str">
        <x:v>Rm</x:v>
      </x:c>
      <x:c r="C56" s="68" t="str">
        <x:v>+30%</x:v>
      </x:c>
      <x:c r="D56" s="68" t="str">
        <x:v>fs_derived_Hz</x:v>
      </x:c>
      <x:c r="E56" s="92" t="str">
        <x:v>899999.5720449019</x:v>
      </x:c>
      <x:c r="F56" s="98" t="str">
        <x:v>0</x:v>
      </x:c>
      <x:c r="G56" s="98" t="str">
        <x:v>0</x:v>
      </x:c>
      <x:c r="H56" s="68" t="str">
        <x:v>扫描变量</x:v>
      </x:c>
      <x:c r="I56" s="68" t="str">
        <x:v>除标明参数外，其余BVD、源阻抗和匹配网络参数保持基准值</x:v>
      </x:c>
    </x:row>
    <x:row r="57">
      <x:c r="A57" s="68" t="str">
        <x:v>CASE_220_RM_P30</x:v>
      </x:c>
      <x:c r="B57" s="68" t="str">
        <x:v>Rm</x:v>
      </x:c>
      <x:c r="C57" s="68" t="str">
        <x:v>+30%</x:v>
      </x:c>
      <x:c r="D57" s="68" t="str">
        <x:v>Rs_ohm</x:v>
      </x:c>
      <x:c r="E57" s="92" t="str">
        <x:v>50.0</x:v>
      </x:c>
      <x:c r="F57" s="98" t="str">
        <x:v>0</x:v>
      </x:c>
      <x:c r="G57" s="98" t="str">
        <x:v>0</x:v>
      </x:c>
      <x:c r="H57" s="68" t="str">
        <x:v>扫描变量</x:v>
      </x:c>
      <x:c r="I57" s="68" t="str">
        <x:v>除标明参数外，其余BVD、源阻抗和匹配网络参数保持基准值</x:v>
      </x:c>
    </x:row>
    <x:row r="58">
      <x:c r="A58" s="68" t="str">
        <x:v>CASE_220_RM_P30</x:v>
      </x:c>
      <x:c r="B58" s="68" t="str">
        <x:v>Rm</x:v>
      </x:c>
      <x:c r="C58" s="68" t="str">
        <x:v>+30%</x:v>
      </x:c>
      <x:c r="D58" s="68" t="str">
        <x:v>Ls_H</x:v>
      </x:c>
      <x:c r="E58" s="92" t="str">
        <x:v>0.00012473</x:v>
      </x:c>
      <x:c r="F58" s="98" t="str">
        <x:v>0</x:v>
      </x:c>
      <x:c r="G58" s="98" t="str">
        <x:v>0</x:v>
      </x:c>
      <x:c r="H58" s="68" t="str">
        <x:v>扫描变量</x:v>
      </x:c>
      <x:c r="I58" s="68" t="str">
        <x:v>除标明参数外，其余BVD、源阻抗和匹配网络参数保持基准值</x:v>
      </x:c>
    </x:row>
    <x:row r="59">
      <x:c r="A59" s="68" t="str">
        <x:v>CASE_220_RM_P30</x:v>
      </x:c>
      <x:c r="B59" s="68" t="str">
        <x:v>Rm</x:v>
      </x:c>
      <x:c r="C59" s="68" t="str">
        <x:v>+30%</x:v>
      </x:c>
      <x:c r="D59" s="68" t="str">
        <x:v>Cp_F</x:v>
      </x:c>
      <x:c r="E59" s="92" t="str">
        <x:v>2.4796e-10</x:v>
      </x:c>
      <x:c r="F59" s="98" t="str">
        <x:v>0</x:v>
      </x:c>
      <x:c r="G59" s="98" t="str">
        <x:v>0</x:v>
      </x:c>
      <x:c r="H59" s="68" t="str">
        <x:v>扫描变量</x:v>
      </x:c>
      <x:c r="I59" s="68" t="str">
        <x:v>除标明参数外，其余BVD、源阻抗和匹配网络参数保持基准值</x:v>
      </x:c>
    </x:row>
    <x:row r="60">
      <x:c r="A60" s="68" t="str">
        <x:v>CASE_220_RM_P30</x:v>
      </x:c>
      <x:c r="B60" s="68" t="str">
        <x:v>Rm</x:v>
      </x:c>
      <x:c r="C60" s="68" t="str">
        <x:v>+30%</x:v>
      </x:c>
      <x:c r="D60" s="68" t="str">
        <x:v>inductor_Q</x:v>
      </x:c>
      <x:c r="E60" s="92" t="str">
        <x:v>100.0</x:v>
      </x:c>
      <x:c r="F60" s="98" t="str">
        <x:v>0</x:v>
      </x:c>
      <x:c r="G60" s="98" t="str">
        <x:v>0</x:v>
      </x:c>
      <x:c r="H60" s="68" t="str">
        <x:v>扫描变量</x:v>
      </x:c>
      <x:c r="I60" s="68" t="str">
        <x:v>除标明参数外，其余BVD、源阻抗和匹配网络参数保持基准值</x:v>
      </x:c>
    </x:row>
    <x:row r="61">
      <x:c r="A61" s="68" t="str">
        <x:v>CASE_220_RM_P30</x:v>
      </x:c>
      <x:c r="B61" s="68" t="str">
        <x:v>Rm</x:v>
      </x:c>
      <x:c r="C61" s="68" t="str">
        <x:v>+30%</x:v>
      </x:c>
      <x:c r="D61" s="68" t="str">
        <x:v>inductor_ESR_at_0p9MHz_ohm</x:v>
      </x:c>
      <x:c r="E61" s="92" t="str">
        <x:v>7.053315330280588</x:v>
      </x:c>
      <x:c r="F61" s="98" t="str">
        <x:v>0</x:v>
      </x:c>
      <x:c r="G61" s="98" t="str">
        <x:v>0</x:v>
      </x:c>
      <x:c r="H61" s="68" t="str">
        <x:v>扫描变量</x:v>
      </x:c>
      <x:c r="I61" s="68" t="str">
        <x:v>除标明参数外，其余BVD、源阻抗和匹配网络参数保持基准值</x:v>
      </x:c>
    </x:row>
    <x:row r="62">
      <x:c r="A62" s="68" t="str">
        <x:v>CASE_230_RM_P50</x:v>
      </x:c>
      <x:c r="B62" s="68" t="str">
        <x:v>Rm</x:v>
      </x:c>
      <x:c r="C62" s="68" t="str">
        <x:v>+50%</x:v>
      </x:c>
      <x:c r="D62" s="68" t="str">
        <x:v>C0_F</x:v>
      </x:c>
      <x:c r="E62" s="92" t="str">
        <x:v>1.5e-12</x:v>
      </x:c>
      <x:c r="F62" s="98" t="str">
        <x:v>0</x:v>
      </x:c>
      <x:c r="G62" s="98" t="str">
        <x:v>0</x:v>
      </x:c>
      <x:c r="H62" s="68" t="str">
        <x:v>扫描变量</x:v>
      </x:c>
      <x:c r="I62" s="68" t="str">
        <x:v>除标明参数外，其余BVD、源阻抗和匹配网络参数保持基准值</x:v>
      </x:c>
    </x:row>
    <x:row r="63">
      <x:c r="A63" s="68" t="str">
        <x:v>CASE_230_RM_P50</x:v>
      </x:c>
      <x:c r="B63" s="68" t="str">
        <x:v>Rm</x:v>
      </x:c>
      <x:c r="C63" s="68" t="str">
        <x:v>+50%</x:v>
      </x:c>
      <x:c r="D63" s="68" t="str">
        <x:v>Rm_ohm</x:v>
      </x:c>
      <x:c r="E63" s="92" t="str">
        <x:v>15000.0</x:v>
      </x:c>
      <x:c r="F63" s="98" t="str">
        <x:v>1</x:v>
      </x:c>
      <x:c r="G63" s="98" t="str">
        <x:v>0</x:v>
      </x:c>
      <x:c r="H63" s="68" t="str">
        <x:v>扫描变量</x:v>
      </x:c>
      <x:c r="I63" s="68" t="str">
        <x:v>除标明参数外，其余BVD、源阻抗和匹配网络参数保持基准值</x:v>
      </x:c>
    </x:row>
    <x:row r="64">
      <x:c r="A64" s="68" t="str">
        <x:v>CASE_230_RM_P50</x:v>
      </x:c>
      <x:c r="B64" s="68" t="str">
        <x:v>Rm</x:v>
      </x:c>
      <x:c r="C64" s="68" t="str">
        <x:v>+50%</x:v>
      </x:c>
      <x:c r="D64" s="68" t="str">
        <x:v>Lm_H</x:v>
      </x:c>
      <x:c r="E64" s="92" t="str">
        <x:v>0.1</x:v>
      </x:c>
      <x:c r="F64" s="98" t="str">
        <x:v>0</x:v>
      </x:c>
      <x:c r="G64" s="98" t="str">
        <x:v>0</x:v>
      </x:c>
      <x:c r="H64" s="68" t="str">
        <x:v>扫描变量</x:v>
      </x:c>
      <x:c r="I64" s="68" t="str">
        <x:v>除标明参数外，其余BVD、源阻抗和匹配网络参数保持基准值</x:v>
      </x:c>
    </x:row>
    <x:row r="65">
      <x:c r="A65" s="68" t="str">
        <x:v>CASE_230_RM_P50</x:v>
      </x:c>
      <x:c r="B65" s="68" t="str">
        <x:v>Rm</x:v>
      </x:c>
      <x:c r="C65" s="68" t="str">
        <x:v>+50%</x:v>
      </x:c>
      <x:c r="D65" s="68" t="str">
        <x:v>Cm_F</x:v>
      </x:c>
      <x:c r="E65" s="92" t="str">
        <x:v>3.1272e-13</x:v>
      </x:c>
      <x:c r="F65" s="98" t="str">
        <x:v>0</x:v>
      </x:c>
      <x:c r="G65" s="98" t="str">
        <x:v>0</x:v>
      </x:c>
      <x:c r="H65" s="68" t="str">
        <x:v>扫描变量</x:v>
      </x:c>
      <x:c r="I65" s="68" t="str">
        <x:v>除标明参数外，其余BVD、源阻抗和匹配网络参数保持基准值</x:v>
      </x:c>
    </x:row>
    <x:row r="66">
      <x:c r="A66" s="68" t="str">
        <x:v>CASE_230_RM_P50</x:v>
      </x:c>
      <x:c r="B66" s="68" t="str">
        <x:v>Rm</x:v>
      </x:c>
      <x:c r="C66" s="68" t="str">
        <x:v>+50%</x:v>
      </x:c>
      <x:c r="D66" s="68" t="str">
        <x:v>fs_derived_Hz</x:v>
      </x:c>
      <x:c r="E66" s="92" t="str">
        <x:v>899999.5720449019</x:v>
      </x:c>
      <x:c r="F66" s="98" t="str">
        <x:v>0</x:v>
      </x:c>
      <x:c r="G66" s="98" t="str">
        <x:v>0</x:v>
      </x:c>
      <x:c r="H66" s="68" t="str">
        <x:v>扫描变量</x:v>
      </x:c>
      <x:c r="I66" s="68" t="str">
        <x:v>除标明参数外，其余BVD、源阻抗和匹配网络参数保持基准值</x:v>
      </x:c>
    </x:row>
    <x:row r="67">
      <x:c r="A67" s="68" t="str">
        <x:v>CASE_230_RM_P50</x:v>
      </x:c>
      <x:c r="B67" s="68" t="str">
        <x:v>Rm</x:v>
      </x:c>
      <x:c r="C67" s="68" t="str">
        <x:v>+50%</x:v>
      </x:c>
      <x:c r="D67" s="68" t="str">
        <x:v>Rs_ohm</x:v>
      </x:c>
      <x:c r="E67" s="92" t="str">
        <x:v>50.0</x:v>
      </x:c>
      <x:c r="F67" s="98" t="str">
        <x:v>0</x:v>
      </x:c>
      <x:c r="G67" s="98" t="str">
        <x:v>0</x:v>
      </x:c>
      <x:c r="H67" s="68" t="str">
        <x:v>扫描变量</x:v>
      </x:c>
      <x:c r="I67" s="68" t="str">
        <x:v>除标明参数外，其余BVD、源阻抗和匹配网络参数保持基准值</x:v>
      </x:c>
    </x:row>
    <x:row r="68">
      <x:c r="A68" s="68" t="str">
        <x:v>CASE_230_RM_P50</x:v>
      </x:c>
      <x:c r="B68" s="68" t="str">
        <x:v>Rm</x:v>
      </x:c>
      <x:c r="C68" s="68" t="str">
        <x:v>+50%</x:v>
      </x:c>
      <x:c r="D68" s="68" t="str">
        <x:v>Ls_H</x:v>
      </x:c>
      <x:c r="E68" s="92" t="str">
        <x:v>0.00012473</x:v>
      </x:c>
      <x:c r="F68" s="98" t="str">
        <x:v>0</x:v>
      </x:c>
      <x:c r="G68" s="98" t="str">
        <x:v>0</x:v>
      </x:c>
      <x:c r="H68" s="68" t="str">
        <x:v>扫描变量</x:v>
      </x:c>
      <x:c r="I68" s="68" t="str">
        <x:v>除标明参数外，其余BVD、源阻抗和匹配网络参数保持基准值</x:v>
      </x:c>
    </x:row>
    <x:row r="69">
      <x:c r="A69" s="68" t="str">
        <x:v>CASE_230_RM_P50</x:v>
      </x:c>
      <x:c r="B69" s="68" t="str">
        <x:v>Rm</x:v>
      </x:c>
      <x:c r="C69" s="68" t="str">
        <x:v>+50%</x:v>
      </x:c>
      <x:c r="D69" s="68" t="str">
        <x:v>Cp_F</x:v>
      </x:c>
      <x:c r="E69" s="92" t="str">
        <x:v>2.4796e-10</x:v>
      </x:c>
      <x:c r="F69" s="98" t="str">
        <x:v>0</x:v>
      </x:c>
      <x:c r="G69" s="98" t="str">
        <x:v>0</x:v>
      </x:c>
      <x:c r="H69" s="68" t="str">
        <x:v>扫描变量</x:v>
      </x:c>
      <x:c r="I69" s="68" t="str">
        <x:v>除标明参数外，其余BVD、源阻抗和匹配网络参数保持基准值</x:v>
      </x:c>
    </x:row>
    <x:row r="70">
      <x:c r="A70" s="68" t="str">
        <x:v>CASE_230_RM_P50</x:v>
      </x:c>
      <x:c r="B70" s="68" t="str">
        <x:v>Rm</x:v>
      </x:c>
      <x:c r="C70" s="68" t="str">
        <x:v>+50%</x:v>
      </x:c>
      <x:c r="D70" s="68" t="str">
        <x:v>inductor_Q</x:v>
      </x:c>
      <x:c r="E70" s="92" t="str">
        <x:v>100.0</x:v>
      </x:c>
      <x:c r="F70" s="98" t="str">
        <x:v>0</x:v>
      </x:c>
      <x:c r="G70" s="98" t="str">
        <x:v>0</x:v>
      </x:c>
      <x:c r="H70" s="68" t="str">
        <x:v>扫描变量</x:v>
      </x:c>
      <x:c r="I70" s="68" t="str">
        <x:v>除标明参数外，其余BVD、源阻抗和匹配网络参数保持基准值</x:v>
      </x:c>
    </x:row>
    <x:row r="71">
      <x:c r="A71" s="68" t="str">
        <x:v>CASE_230_RM_P50</x:v>
      </x:c>
      <x:c r="B71" s="68" t="str">
        <x:v>Rm</x:v>
      </x:c>
      <x:c r="C71" s="68" t="str">
        <x:v>+50%</x:v>
      </x:c>
      <x:c r="D71" s="68" t="str">
        <x:v>inductor_ESR_at_0p9MHz_ohm</x:v>
      </x:c>
      <x:c r="E71" s="92" t="str">
        <x:v>7.053315330280588</x:v>
      </x:c>
      <x:c r="F71" s="98" t="str">
        <x:v>0</x:v>
      </x:c>
      <x:c r="G71" s="98" t="str">
        <x:v>0</x:v>
      </x:c>
      <x:c r="H71" s="68" t="str">
        <x:v>扫描变量</x:v>
      </x:c>
      <x:c r="I71" s="68" t="str">
        <x:v>除标明参数外，其余BVD、源阻抗和匹配网络参数保持基准值</x:v>
      </x:c>
    </x:row>
    <x:row r="72">
      <x:c r="A72" s="68" t="str">
        <x:v>CASE_310_FS_M1</x:v>
      </x:c>
      <x:c r="B72" s="68" t="str">
        <x:v>fs</x:v>
      </x:c>
      <x:c r="C72" s="68" t="str">
        <x:v>-1%（仅改变Cm）</x:v>
      </x:c>
      <x:c r="D72" s="68" t="str">
        <x:v>C0_F</x:v>
      </x:c>
      <x:c r="E72" s="92" t="str">
        <x:v>1.5e-12</x:v>
      </x:c>
      <x:c r="F72" s="98" t="str">
        <x:v>0</x:v>
      </x:c>
      <x:c r="G72" s="98" t="str">
        <x:v>0</x:v>
      </x:c>
      <x:c r="H72" s="68" t="str">
        <x:v>扫描变量</x:v>
      </x:c>
      <x:c r="I72" s="68" t="str">
        <x:v>除标明参数外，其余BVD、源阻抗和匹配网络参数保持基准值</x:v>
      </x:c>
    </x:row>
    <x:row r="73">
      <x:c r="A73" s="68" t="str">
        <x:v>CASE_310_FS_M1</x:v>
      </x:c>
      <x:c r="B73" s="68" t="str">
        <x:v>fs</x:v>
      </x:c>
      <x:c r="C73" s="68" t="str">
        <x:v>-1%（仅改变Cm）</x:v>
      </x:c>
      <x:c r="D73" s="68" t="str">
        <x:v>Rm_ohm</x:v>
      </x:c>
      <x:c r="E73" s="92" t="str">
        <x:v>10000.0</x:v>
      </x:c>
      <x:c r="F73" s="98" t="str">
        <x:v>0</x:v>
      </x:c>
      <x:c r="G73" s="98" t="str">
        <x:v>0</x:v>
      </x:c>
      <x:c r="H73" s="68" t="str">
        <x:v>扫描变量</x:v>
      </x:c>
      <x:c r="I73" s="68" t="str">
        <x:v>除标明参数外，其余BVD、源阻抗和匹配网络参数保持基准值</x:v>
      </x:c>
    </x:row>
    <x:row r="74">
      <x:c r="A74" s="68" t="str">
        <x:v>CASE_310_FS_M1</x:v>
      </x:c>
      <x:c r="B74" s="68" t="str">
        <x:v>fs</x:v>
      </x:c>
      <x:c r="C74" s="68" t="str">
        <x:v>-1%（仅改变Cm）</x:v>
      </x:c>
      <x:c r="D74" s="68" t="str">
        <x:v>Lm_H</x:v>
      </x:c>
      <x:c r="E74" s="92" t="str">
        <x:v>0.1</x:v>
      </x:c>
      <x:c r="F74" s="98" t="str">
        <x:v>0</x:v>
      </x:c>
      <x:c r="G74" s="98" t="str">
        <x:v>0</x:v>
      </x:c>
      <x:c r="H74" s="68" t="str">
        <x:v>扫描变量</x:v>
      </x:c>
      <x:c r="I74" s="68" t="str">
        <x:v>除标明参数外，其余BVD、源阻抗和匹配网络参数保持基准值</x:v>
      </x:c>
    </x:row>
    <x:row r="75">
      <x:c r="A75" s="68" t="str">
        <x:v>CASE_310_FS_M1</x:v>
      </x:c>
      <x:c r="B75" s="68" t="str">
        <x:v>fs</x:v>
      </x:c>
      <x:c r="C75" s="68" t="str">
        <x:v>-1%（仅改变Cm）</x:v>
      </x:c>
      <x:c r="D75" s="68" t="str">
        <x:v>Cm_F</x:v>
      </x:c>
      <x:c r="E75" s="92" t="str">
        <x:v>3.1906917926722576e-13</x:v>
      </x:c>
      <x:c r="F75" s="98" t="str">
        <x:v>1</x:v>
      </x:c>
      <x:c r="G75" s="98" t="str">
        <x:v>0</x:v>
      </x:c>
      <x:c r="H75" s="68" t="str">
        <x:v>扫描变量</x:v>
      </x:c>
      <x:c r="I75" s="68" t="str">
        <x:v>除标明参数外，其余BVD、源阻抗和匹配网络参数保持基准值</x:v>
      </x:c>
    </x:row>
    <x:row r="76">
      <x:c r="A76" s="68" t="str">
        <x:v>CASE_310_FS_M1</x:v>
      </x:c>
      <x:c r="B76" s="68" t="str">
        <x:v>fs</x:v>
      </x:c>
      <x:c r="C76" s="68" t="str">
        <x:v>-1%（仅改变Cm）</x:v>
      </x:c>
      <x:c r="D76" s="68" t="str">
        <x:v>fs_derived_Hz</x:v>
      </x:c>
      <x:c r="E76" s="92" t="str">
        <x:v>890999.9999999999</x:v>
      </x:c>
      <x:c r="F76" s="98" t="str">
        <x:v>0</x:v>
      </x:c>
      <x:c r="G76" s="98" t="str">
        <x:v>1</x:v>
      </x:c>
      <x:c r="H76" s="68" t="str">
        <x:v>扫描变量</x:v>
      </x:c>
      <x:c r="I76" s="68" t="str">
        <x:v>除标明参数外，其余BVD、源阻抗和匹配网络参数保持基准值</x:v>
      </x:c>
    </x:row>
    <x:row r="77">
      <x:c r="A77" s="68" t="str">
        <x:v>CASE_310_FS_M1</x:v>
      </x:c>
      <x:c r="B77" s="68" t="str">
        <x:v>fs</x:v>
      </x:c>
      <x:c r="C77" s="68" t="str">
        <x:v>-1%（仅改变Cm）</x:v>
      </x:c>
      <x:c r="D77" s="68" t="str">
        <x:v>Rs_ohm</x:v>
      </x:c>
      <x:c r="E77" s="92" t="str">
        <x:v>50.0</x:v>
      </x:c>
      <x:c r="F77" s="98" t="str">
        <x:v>0</x:v>
      </x:c>
      <x:c r="G77" s="98" t="str">
        <x:v>0</x:v>
      </x:c>
      <x:c r="H77" s="68" t="str">
        <x:v>扫描变量</x:v>
      </x:c>
      <x:c r="I77" s="68" t="str">
        <x:v>除标明参数外，其余BVD、源阻抗和匹配网络参数保持基准值</x:v>
      </x:c>
    </x:row>
    <x:row r="78">
      <x:c r="A78" s="68" t="str">
        <x:v>CASE_310_FS_M1</x:v>
      </x:c>
      <x:c r="B78" s="68" t="str">
        <x:v>fs</x:v>
      </x:c>
      <x:c r="C78" s="68" t="str">
        <x:v>-1%（仅改变Cm）</x:v>
      </x:c>
      <x:c r="D78" s="68" t="str">
        <x:v>Ls_H</x:v>
      </x:c>
      <x:c r="E78" s="92" t="str">
        <x:v>0.00012473</x:v>
      </x:c>
      <x:c r="F78" s="98" t="str">
        <x:v>0</x:v>
      </x:c>
      <x:c r="G78" s="98" t="str">
        <x:v>0</x:v>
      </x:c>
      <x:c r="H78" s="68" t="str">
        <x:v>扫描变量</x:v>
      </x:c>
      <x:c r="I78" s="68" t="str">
        <x:v>除标明参数外，其余BVD、源阻抗和匹配网络参数保持基准值</x:v>
      </x:c>
    </x:row>
    <x:row r="79">
      <x:c r="A79" s="68" t="str">
        <x:v>CASE_310_FS_M1</x:v>
      </x:c>
      <x:c r="B79" s="68" t="str">
        <x:v>fs</x:v>
      </x:c>
      <x:c r="C79" s="68" t="str">
        <x:v>-1%（仅改变Cm）</x:v>
      </x:c>
      <x:c r="D79" s="68" t="str">
        <x:v>Cp_F</x:v>
      </x:c>
      <x:c r="E79" s="92" t="str">
        <x:v>2.4796e-10</x:v>
      </x:c>
      <x:c r="F79" s="98" t="str">
        <x:v>0</x:v>
      </x:c>
      <x:c r="G79" s="98" t="str">
        <x:v>0</x:v>
      </x:c>
      <x:c r="H79" s="68" t="str">
        <x:v>扫描变量</x:v>
      </x:c>
      <x:c r="I79" s="68" t="str">
        <x:v>除标明参数外，其余BVD、源阻抗和匹配网络参数保持基准值</x:v>
      </x:c>
    </x:row>
    <x:row r="80">
      <x:c r="A80" s="68" t="str">
        <x:v>CASE_310_FS_M1</x:v>
      </x:c>
      <x:c r="B80" s="68" t="str">
        <x:v>fs</x:v>
      </x:c>
      <x:c r="C80" s="68" t="str">
        <x:v>-1%（仅改变Cm）</x:v>
      </x:c>
      <x:c r="D80" s="68" t="str">
        <x:v>inductor_Q</x:v>
      </x:c>
      <x:c r="E80" s="92" t="str">
        <x:v>100.0</x:v>
      </x:c>
      <x:c r="F80" s="98" t="str">
        <x:v>0</x:v>
      </x:c>
      <x:c r="G80" s="98" t="str">
        <x:v>0</x:v>
      </x:c>
      <x:c r="H80" s="68" t="str">
        <x:v>扫描变量</x:v>
      </x:c>
      <x:c r="I80" s="68" t="str">
        <x:v>除标明参数外，其余BVD、源阻抗和匹配网络参数保持基准值</x:v>
      </x:c>
    </x:row>
    <x:row r="81">
      <x:c r="A81" s="68" t="str">
        <x:v>CASE_310_FS_M1</x:v>
      </x:c>
      <x:c r="B81" s="68" t="str">
        <x:v>fs</x:v>
      </x:c>
      <x:c r="C81" s="68" t="str">
        <x:v>-1%（仅改变Cm）</x:v>
      </x:c>
      <x:c r="D81" s="68" t="str">
        <x:v>inductor_ESR_at_0p9MHz_ohm</x:v>
      </x:c>
      <x:c r="E81" s="92" t="str">
        <x:v>7.053315330280588</x:v>
      </x:c>
      <x:c r="F81" s="98" t="str">
        <x:v>0</x:v>
      </x:c>
      <x:c r="G81" s="98" t="str">
        <x:v>0</x:v>
      </x:c>
      <x:c r="H81" s="68" t="str">
        <x:v>扫描变量</x:v>
      </x:c>
      <x:c r="I81" s="68" t="str">
        <x:v>除标明参数外，其余BVD、源阻抗和匹配网络参数保持基准值</x:v>
      </x:c>
    </x:row>
    <x:row r="82">
      <x:c r="A82" s="68" t="str">
        <x:v>CASE_320_FS_M3</x:v>
      </x:c>
      <x:c r="B82" s="68" t="str">
        <x:v>fs</x:v>
      </x:c>
      <x:c r="C82" s="68" t="str">
        <x:v>-3%（仅改变Cm）</x:v>
      </x:c>
      <x:c r="D82" s="68" t="str">
        <x:v>C0_F</x:v>
      </x:c>
      <x:c r="E82" s="92" t="str">
        <x:v>1.5e-12</x:v>
      </x:c>
      <x:c r="F82" s="98" t="str">
        <x:v>0</x:v>
      </x:c>
      <x:c r="G82" s="98" t="str">
        <x:v>0</x:v>
      </x:c>
      <x:c r="H82" s="68" t="str">
        <x:v>扫描变量</x:v>
      </x:c>
      <x:c r="I82" s="68" t="str">
        <x:v>除标明参数外，其余BVD、源阻抗和匹配网络参数保持基准值</x:v>
      </x:c>
    </x:row>
    <x:row r="83">
      <x:c r="A83" s="68" t="str">
        <x:v>CASE_320_FS_M3</x:v>
      </x:c>
      <x:c r="B83" s="68" t="str">
        <x:v>fs</x:v>
      </x:c>
      <x:c r="C83" s="68" t="str">
        <x:v>-3%（仅改变Cm）</x:v>
      </x:c>
      <x:c r="D83" s="68" t="str">
        <x:v>Rm_ohm</x:v>
      </x:c>
      <x:c r="E83" s="92" t="str">
        <x:v>10000.0</x:v>
      </x:c>
      <x:c r="F83" s="98" t="str">
        <x:v>0</x:v>
      </x:c>
      <x:c r="G83" s="98" t="str">
        <x:v>0</x:v>
      </x:c>
      <x:c r="H83" s="68" t="str">
        <x:v>扫描变量</x:v>
      </x:c>
      <x:c r="I83" s="68" t="str">
        <x:v>除标明参数外，其余BVD、源阻抗和匹配网络参数保持基准值</x:v>
      </x:c>
    </x:row>
    <x:row r="84">
      <x:c r="A84" s="68" t="str">
        <x:v>CASE_320_FS_M3</x:v>
      </x:c>
      <x:c r="B84" s="68" t="str">
        <x:v>fs</x:v>
      </x:c>
      <x:c r="C84" s="68" t="str">
        <x:v>-3%（仅改变Cm）</x:v>
      </x:c>
      <x:c r="D84" s="68" t="str">
        <x:v>Lm_H</x:v>
      </x:c>
      <x:c r="E84" s="92" t="str">
        <x:v>0.1</x:v>
      </x:c>
      <x:c r="F84" s="98" t="str">
        <x:v>0</x:v>
      </x:c>
      <x:c r="G84" s="98" t="str">
        <x:v>0</x:v>
      </x:c>
      <x:c r="H84" s="68" t="str">
        <x:v>扫描变量</x:v>
      </x:c>
      <x:c r="I84" s="68" t="str">
        <x:v>除标明参数外，其余BVD、源阻抗和匹配网络参数保持基准值</x:v>
      </x:c>
    </x:row>
    <x:row r="85">
      <x:c r="A85" s="68" t="str">
        <x:v>CASE_320_FS_M3</x:v>
      </x:c>
      <x:c r="B85" s="68" t="str">
        <x:v>fs</x:v>
      </x:c>
      <x:c r="C85" s="68" t="str">
        <x:v>-3%（仅改变Cm）</x:v>
      </x:c>
      <x:c r="D85" s="68" t="str">
        <x:v>Cm_F</x:v>
      </x:c>
      <x:c r="E85" s="92" t="str">
        <x:v>3.3236231544245717e-13</x:v>
      </x:c>
      <x:c r="F85" s="98" t="str">
        <x:v>1</x:v>
      </x:c>
      <x:c r="G85" s="98" t="str">
        <x:v>0</x:v>
      </x:c>
      <x:c r="H85" s="68" t="str">
        <x:v>扫描变量</x:v>
      </x:c>
      <x:c r="I85" s="68" t="str">
        <x:v>除标明参数外，其余BVD、源阻抗和匹配网络参数保持基准值</x:v>
      </x:c>
    </x:row>
    <x:row r="86">
      <x:c r="A86" s="68" t="str">
        <x:v>CASE_320_FS_M3</x:v>
      </x:c>
      <x:c r="B86" s="68" t="str">
        <x:v>fs</x:v>
      </x:c>
      <x:c r="C86" s="68" t="str">
        <x:v>-3%（仅改变Cm）</x:v>
      </x:c>
      <x:c r="D86" s="68" t="str">
        <x:v>fs_derived_Hz</x:v>
      </x:c>
      <x:c r="E86" s="92" t="str">
        <x:v>873000.0</x:v>
      </x:c>
      <x:c r="F86" s="98" t="str">
        <x:v>0</x:v>
      </x:c>
      <x:c r="G86" s="98" t="str">
        <x:v>1</x:v>
      </x:c>
      <x:c r="H86" s="68" t="str">
        <x:v>扫描变量</x:v>
      </x:c>
      <x:c r="I86" s="68" t="str">
        <x:v>除标明参数外，其余BVD、源阻抗和匹配网络参数保持基准值</x:v>
      </x:c>
    </x:row>
    <x:row r="87">
      <x:c r="A87" s="68" t="str">
        <x:v>CASE_320_FS_M3</x:v>
      </x:c>
      <x:c r="B87" s="68" t="str">
        <x:v>fs</x:v>
      </x:c>
      <x:c r="C87" s="68" t="str">
        <x:v>-3%（仅改变Cm）</x:v>
      </x:c>
      <x:c r="D87" s="68" t="str">
        <x:v>Rs_ohm</x:v>
      </x:c>
      <x:c r="E87" s="92" t="str">
        <x:v>50.0</x:v>
      </x:c>
      <x:c r="F87" s="98" t="str">
        <x:v>0</x:v>
      </x:c>
      <x:c r="G87" s="98" t="str">
        <x:v>0</x:v>
      </x:c>
      <x:c r="H87" s="68" t="str">
        <x:v>扫描变量</x:v>
      </x:c>
      <x:c r="I87" s="68" t="str">
        <x:v>除标明参数外，其余BVD、源阻抗和匹配网络参数保持基准值</x:v>
      </x:c>
    </x:row>
    <x:row r="88">
      <x:c r="A88" s="68" t="str">
        <x:v>CASE_320_FS_M3</x:v>
      </x:c>
      <x:c r="B88" s="68" t="str">
        <x:v>fs</x:v>
      </x:c>
      <x:c r="C88" s="68" t="str">
        <x:v>-3%（仅改变Cm）</x:v>
      </x:c>
      <x:c r="D88" s="68" t="str">
        <x:v>Ls_H</x:v>
      </x:c>
      <x:c r="E88" s="92" t="str">
        <x:v>0.00012473</x:v>
      </x:c>
      <x:c r="F88" s="98" t="str">
        <x:v>0</x:v>
      </x:c>
      <x:c r="G88" s="98" t="str">
        <x:v>0</x:v>
      </x:c>
      <x:c r="H88" s="68" t="str">
        <x:v>扫描变量</x:v>
      </x:c>
      <x:c r="I88" s="68" t="str">
        <x:v>除标明参数外，其余BVD、源阻抗和匹配网络参数保持基准值</x:v>
      </x:c>
    </x:row>
    <x:row r="89">
      <x:c r="A89" s="68" t="str">
        <x:v>CASE_320_FS_M3</x:v>
      </x:c>
      <x:c r="B89" s="68" t="str">
        <x:v>fs</x:v>
      </x:c>
      <x:c r="C89" s="68" t="str">
        <x:v>-3%（仅改变Cm）</x:v>
      </x:c>
      <x:c r="D89" s="68" t="str">
        <x:v>Cp_F</x:v>
      </x:c>
      <x:c r="E89" s="92" t="str">
        <x:v>2.4796e-10</x:v>
      </x:c>
      <x:c r="F89" s="98" t="str">
        <x:v>0</x:v>
      </x:c>
      <x:c r="G89" s="98" t="str">
        <x:v>0</x:v>
      </x:c>
      <x:c r="H89" s="68" t="str">
        <x:v>扫描变量</x:v>
      </x:c>
      <x:c r="I89" s="68" t="str">
        <x:v>除标明参数外，其余BVD、源阻抗和匹配网络参数保持基准值</x:v>
      </x:c>
    </x:row>
    <x:row r="90">
      <x:c r="A90" s="68" t="str">
        <x:v>CASE_320_FS_M3</x:v>
      </x:c>
      <x:c r="B90" s="68" t="str">
        <x:v>fs</x:v>
      </x:c>
      <x:c r="C90" s="68" t="str">
        <x:v>-3%（仅改变Cm）</x:v>
      </x:c>
      <x:c r="D90" s="68" t="str">
        <x:v>inductor_Q</x:v>
      </x:c>
      <x:c r="E90" s="92" t="str">
        <x:v>100.0</x:v>
      </x:c>
      <x:c r="F90" s="98" t="str">
        <x:v>0</x:v>
      </x:c>
      <x:c r="G90" s="98" t="str">
        <x:v>0</x:v>
      </x:c>
      <x:c r="H90" s="68" t="str">
        <x:v>扫描变量</x:v>
      </x:c>
      <x:c r="I90" s="68" t="str">
        <x:v>除标明参数外，其余BVD、源阻抗和匹配网络参数保持基准值</x:v>
      </x:c>
    </x:row>
    <x:row r="91">
      <x:c r="A91" s="68" t="str">
        <x:v>CASE_320_FS_M3</x:v>
      </x:c>
      <x:c r="B91" s="68" t="str">
        <x:v>fs</x:v>
      </x:c>
      <x:c r="C91" s="68" t="str">
        <x:v>-3%（仅改变Cm）</x:v>
      </x:c>
      <x:c r="D91" s="68" t="str">
        <x:v>inductor_ESR_at_0p9MHz_ohm</x:v>
      </x:c>
      <x:c r="E91" s="92" t="str">
        <x:v>7.053315330280588</x:v>
      </x:c>
      <x:c r="F91" s="98" t="str">
        <x:v>0</x:v>
      </x:c>
      <x:c r="G91" s="98" t="str">
        <x:v>0</x:v>
      </x:c>
      <x:c r="H91" s="68" t="str">
        <x:v>扫描变量</x:v>
      </x:c>
      <x:c r="I91" s="68" t="str">
        <x:v>除标明参数外，其余BVD、源阻抗和匹配网络参数保持基准值</x:v>
      </x:c>
    </x:row>
    <x:row r="92">
      <x:c r="A92" s="68" t="str">
        <x:v>CASE_330_FS_M5</x:v>
      </x:c>
      <x:c r="B92" s="68" t="str">
        <x:v>fs</x:v>
      </x:c>
      <x:c r="C92" s="68" t="str">
        <x:v>-5%（仅改变Cm）</x:v>
      </x:c>
      <x:c r="D92" s="68" t="str">
        <x:v>C0_F</x:v>
      </x:c>
      <x:c r="E92" s="92" t="str">
        <x:v>1.5e-12</x:v>
      </x:c>
      <x:c r="F92" s="98" t="str">
        <x:v>0</x:v>
      </x:c>
      <x:c r="G92" s="98" t="str">
        <x:v>0</x:v>
      </x:c>
      <x:c r="H92" s="68" t="str">
        <x:v>扫描变量</x:v>
      </x:c>
      <x:c r="I92" s="68" t="str">
        <x:v>除标明参数外，其余BVD、源阻抗和匹配网络参数保持基准值</x:v>
      </x:c>
    </x:row>
    <x:row r="93">
      <x:c r="A93" s="68" t="str">
        <x:v>CASE_330_FS_M5</x:v>
      </x:c>
      <x:c r="B93" s="68" t="str">
        <x:v>fs</x:v>
      </x:c>
      <x:c r="C93" s="68" t="str">
        <x:v>-5%（仅改变Cm）</x:v>
      </x:c>
      <x:c r="D93" s="68" t="str">
        <x:v>Rm_ohm</x:v>
      </x:c>
      <x:c r="E93" s="92" t="str">
        <x:v>10000.0</x:v>
      </x:c>
      <x:c r="F93" s="98" t="str">
        <x:v>0</x:v>
      </x:c>
      <x:c r="G93" s="98" t="str">
        <x:v>0</x:v>
      </x:c>
      <x:c r="H93" s="68" t="str">
        <x:v>扫描变量</x:v>
      </x:c>
      <x:c r="I93" s="68" t="str">
        <x:v>除标明参数外，其余BVD、源阻抗和匹配网络参数保持基准值</x:v>
      </x:c>
    </x:row>
    <x:row r="94">
      <x:c r="A94" s="68" t="str">
        <x:v>CASE_330_FS_M5</x:v>
      </x:c>
      <x:c r="B94" s="68" t="str">
        <x:v>fs</x:v>
      </x:c>
      <x:c r="C94" s="68" t="str">
        <x:v>-5%（仅改变Cm）</x:v>
      </x:c>
      <x:c r="D94" s="68" t="str">
        <x:v>Lm_H</x:v>
      </x:c>
      <x:c r="E94" s="92" t="str">
        <x:v>0.1</x:v>
      </x:c>
      <x:c r="F94" s="98" t="str">
        <x:v>0</x:v>
      </x:c>
      <x:c r="G94" s="98" t="str">
        <x:v>0</x:v>
      </x:c>
      <x:c r="H94" s="68" t="str">
        <x:v>扫描变量</x:v>
      </x:c>
      <x:c r="I94" s="68" t="str">
        <x:v>除标明参数外，其余BVD、源阻抗和匹配网络参数保持基准值</x:v>
      </x:c>
    </x:row>
    <x:row r="95">
      <x:c r="A95" s="68" t="str">
        <x:v>CASE_330_FS_M5</x:v>
      </x:c>
      <x:c r="B95" s="68" t="str">
        <x:v>fs</x:v>
      </x:c>
      <x:c r="C95" s="68" t="str">
        <x:v>-5%（仅改变Cm）</x:v>
      </x:c>
      <x:c r="D95" s="68" t="str">
        <x:v>Cm_F</x:v>
      </x:c>
      <x:c r="E95" s="92" t="str">
        <x:v>3.465038255953551e-13</x:v>
      </x:c>
      <x:c r="F95" s="98" t="str">
        <x:v>1</x:v>
      </x:c>
      <x:c r="G95" s="98" t="str">
        <x:v>0</x:v>
      </x:c>
      <x:c r="H95" s="68" t="str">
        <x:v>扫描变量</x:v>
      </x:c>
      <x:c r="I95" s="68" t="str">
        <x:v>除标明参数外，其余BVD、源阻抗和匹配网络参数保持基准值</x:v>
      </x:c>
    </x:row>
    <x:row r="96">
      <x:c r="A96" s="68" t="str">
        <x:v>CASE_330_FS_M5</x:v>
      </x:c>
      <x:c r="B96" s="68" t="str">
        <x:v>fs</x:v>
      </x:c>
      <x:c r="C96" s="68" t="str">
        <x:v>-5%（仅改变Cm）</x:v>
      </x:c>
      <x:c r="D96" s="68" t="str">
        <x:v>fs_derived_Hz</x:v>
      </x:c>
      <x:c r="E96" s="92" t="str">
        <x:v>855000.0</x:v>
      </x:c>
      <x:c r="F96" s="98" t="str">
        <x:v>0</x:v>
      </x:c>
      <x:c r="G96" s="98" t="str">
        <x:v>1</x:v>
      </x:c>
      <x:c r="H96" s="68" t="str">
        <x:v>扫描变量</x:v>
      </x:c>
      <x:c r="I96" s="68" t="str">
        <x:v>除标明参数外，其余BVD、源阻抗和匹配网络参数保持基准值</x:v>
      </x:c>
    </x:row>
    <x:row r="97">
      <x:c r="A97" s="68" t="str">
        <x:v>CASE_330_FS_M5</x:v>
      </x:c>
      <x:c r="B97" s="68" t="str">
        <x:v>fs</x:v>
      </x:c>
      <x:c r="C97" s="68" t="str">
        <x:v>-5%（仅改变Cm）</x:v>
      </x:c>
      <x:c r="D97" s="68" t="str">
        <x:v>Rs_ohm</x:v>
      </x:c>
      <x:c r="E97" s="92" t="str">
        <x:v>50.0</x:v>
      </x:c>
      <x:c r="F97" s="98" t="str">
        <x:v>0</x:v>
      </x:c>
      <x:c r="G97" s="98" t="str">
        <x:v>0</x:v>
      </x:c>
      <x:c r="H97" s="68" t="str">
        <x:v>扫描变量</x:v>
      </x:c>
      <x:c r="I97" s="68" t="str">
        <x:v>除标明参数外，其余BVD、源阻抗和匹配网络参数保持基准值</x:v>
      </x:c>
    </x:row>
    <x:row r="98">
      <x:c r="A98" s="68" t="str">
        <x:v>CASE_330_FS_M5</x:v>
      </x:c>
      <x:c r="B98" s="68" t="str">
        <x:v>fs</x:v>
      </x:c>
      <x:c r="C98" s="68" t="str">
        <x:v>-5%（仅改变Cm）</x:v>
      </x:c>
      <x:c r="D98" s="68" t="str">
        <x:v>Ls_H</x:v>
      </x:c>
      <x:c r="E98" s="92" t="str">
        <x:v>0.00012473</x:v>
      </x:c>
      <x:c r="F98" s="98" t="str">
        <x:v>0</x:v>
      </x:c>
      <x:c r="G98" s="98" t="str">
        <x:v>0</x:v>
      </x:c>
      <x:c r="H98" s="68" t="str">
        <x:v>扫描变量</x:v>
      </x:c>
      <x:c r="I98" s="68" t="str">
        <x:v>除标明参数外，其余BVD、源阻抗和匹配网络参数保持基准值</x:v>
      </x:c>
    </x:row>
    <x:row r="99">
      <x:c r="A99" s="68" t="str">
        <x:v>CASE_330_FS_M5</x:v>
      </x:c>
      <x:c r="B99" s="68" t="str">
        <x:v>fs</x:v>
      </x:c>
      <x:c r="C99" s="68" t="str">
        <x:v>-5%（仅改变Cm）</x:v>
      </x:c>
      <x:c r="D99" s="68" t="str">
        <x:v>Cp_F</x:v>
      </x:c>
      <x:c r="E99" s="92" t="str">
        <x:v>2.4796e-10</x:v>
      </x:c>
      <x:c r="F99" s="98" t="str">
        <x:v>0</x:v>
      </x:c>
      <x:c r="G99" s="98" t="str">
        <x:v>0</x:v>
      </x:c>
      <x:c r="H99" s="68" t="str">
        <x:v>扫描变量</x:v>
      </x:c>
      <x:c r="I99" s="68" t="str">
        <x:v>除标明参数外，其余BVD、源阻抗和匹配网络参数保持基准值</x:v>
      </x:c>
    </x:row>
    <x:row r="100">
      <x:c r="A100" s="68" t="str">
        <x:v>CASE_330_FS_M5</x:v>
      </x:c>
      <x:c r="B100" s="68" t="str">
        <x:v>fs</x:v>
      </x:c>
      <x:c r="C100" s="68" t="str">
        <x:v>-5%（仅改变Cm）</x:v>
      </x:c>
      <x:c r="D100" s="68" t="str">
        <x:v>inductor_Q</x:v>
      </x:c>
      <x:c r="E100" s="92" t="str">
        <x:v>100.0</x:v>
      </x:c>
      <x:c r="F100" s="98" t="str">
        <x:v>0</x:v>
      </x:c>
      <x:c r="G100" s="98" t="str">
        <x:v>0</x:v>
      </x:c>
      <x:c r="H100" s="68" t="str">
        <x:v>扫描变量</x:v>
      </x:c>
      <x:c r="I100" s="68" t="str">
        <x:v>除标明参数外，其余BVD、源阻抗和匹配网络参数保持基准值</x:v>
      </x:c>
    </x:row>
    <x:row r="101">
      <x:c r="A101" s="68" t="str">
        <x:v>CASE_330_FS_M5</x:v>
      </x:c>
      <x:c r="B101" s="68" t="str">
        <x:v>fs</x:v>
      </x:c>
      <x:c r="C101" s="68" t="str">
        <x:v>-5%（仅改变Cm）</x:v>
      </x:c>
      <x:c r="D101" s="68" t="str">
        <x:v>inductor_ESR_at_0p9MHz_ohm</x:v>
      </x:c>
      <x:c r="E101" s="92" t="str">
        <x:v>7.053315330280588</x:v>
      </x:c>
      <x:c r="F101" s="98" t="str">
        <x:v>0</x:v>
      </x:c>
      <x:c r="G101" s="98" t="str">
        <x:v>0</x:v>
      </x:c>
      <x:c r="H101" s="68" t="str">
        <x:v>扫描变量</x:v>
      </x:c>
      <x:c r="I101" s="68" t="str">
        <x:v>除标明参数外，其余BVD、源阻抗和匹配网络参数保持基准值</x:v>
      </x:c>
    </x:row>
    <x:row r="102">
      <x:c r="A102" s="68" t="str">
        <x:v>CASE_410_RS_P5</x:v>
      </x:c>
      <x:c r="B102" s="68" t="str">
        <x:v>Rs</x:v>
      </x:c>
      <x:c r="C102" s="68" t="str">
        <x:v>+5%</x:v>
      </x:c>
      <x:c r="D102" s="68" t="str">
        <x:v>C0_F</x:v>
      </x:c>
      <x:c r="E102" s="92" t="str">
        <x:v>1.5e-12</x:v>
      </x:c>
      <x:c r="F102" s="98" t="str">
        <x:v>0</x:v>
      </x:c>
      <x:c r="G102" s="98" t="str">
        <x:v>0</x:v>
      </x:c>
      <x:c r="H102" s="68" t="str">
        <x:v>扫描变量</x:v>
      </x:c>
      <x:c r="I102" s="68" t="str">
        <x:v>除标明参数外，其余BVD、源阻抗和匹配网络参数保持基准值</x:v>
      </x:c>
    </x:row>
    <x:row r="103">
      <x:c r="A103" s="68" t="str">
        <x:v>CASE_410_RS_P5</x:v>
      </x:c>
      <x:c r="B103" s="68" t="str">
        <x:v>Rs</x:v>
      </x:c>
      <x:c r="C103" s="68" t="str">
        <x:v>+5%</x:v>
      </x:c>
      <x:c r="D103" s="68" t="str">
        <x:v>Rm_ohm</x:v>
      </x:c>
      <x:c r="E103" s="92" t="str">
        <x:v>10000.0</x:v>
      </x:c>
      <x:c r="F103" s="98" t="str">
        <x:v>0</x:v>
      </x:c>
      <x:c r="G103" s="98" t="str">
        <x:v>0</x:v>
      </x:c>
      <x:c r="H103" s="68" t="str">
        <x:v>扫描变量</x:v>
      </x:c>
      <x:c r="I103" s="68" t="str">
        <x:v>除标明参数外，其余BVD、源阻抗和匹配网络参数保持基准值</x:v>
      </x:c>
    </x:row>
    <x:row r="104">
      <x:c r="A104" s="68" t="str">
        <x:v>CASE_410_RS_P5</x:v>
      </x:c>
      <x:c r="B104" s="68" t="str">
        <x:v>Rs</x:v>
      </x:c>
      <x:c r="C104" s="68" t="str">
        <x:v>+5%</x:v>
      </x:c>
      <x:c r="D104" s="68" t="str">
        <x:v>Lm_H</x:v>
      </x:c>
      <x:c r="E104" s="92" t="str">
        <x:v>0.1</x:v>
      </x:c>
      <x:c r="F104" s="98" t="str">
        <x:v>0</x:v>
      </x:c>
      <x:c r="G104" s="98" t="str">
        <x:v>0</x:v>
      </x:c>
      <x:c r="H104" s="68" t="str">
        <x:v>扫描变量</x:v>
      </x:c>
      <x:c r="I104" s="68" t="str">
        <x:v>除标明参数外，其余BVD、源阻抗和匹配网络参数保持基准值</x:v>
      </x:c>
    </x:row>
    <x:row r="105">
      <x:c r="A105" s="68" t="str">
        <x:v>CASE_410_RS_P5</x:v>
      </x:c>
      <x:c r="B105" s="68" t="str">
        <x:v>Rs</x:v>
      </x:c>
      <x:c r="C105" s="68" t="str">
        <x:v>+5%</x:v>
      </x:c>
      <x:c r="D105" s="68" t="str">
        <x:v>Cm_F</x:v>
      </x:c>
      <x:c r="E105" s="92" t="str">
        <x:v>3.1272e-13</x:v>
      </x:c>
      <x:c r="F105" s="98" t="str">
        <x:v>0</x:v>
      </x:c>
      <x:c r="G105" s="98" t="str">
        <x:v>0</x:v>
      </x:c>
      <x:c r="H105" s="68" t="str">
        <x:v>扫描变量</x:v>
      </x:c>
      <x:c r="I105" s="68" t="str">
        <x:v>除标明参数外，其余BVD、源阻抗和匹配网络参数保持基准值</x:v>
      </x:c>
    </x:row>
    <x:row r="106">
      <x:c r="A106" s="68" t="str">
        <x:v>CASE_410_RS_P5</x:v>
      </x:c>
      <x:c r="B106" s="68" t="str">
        <x:v>Rs</x:v>
      </x:c>
      <x:c r="C106" s="68" t="str">
        <x:v>+5%</x:v>
      </x:c>
      <x:c r="D106" s="68" t="str">
        <x:v>fs_derived_Hz</x:v>
      </x:c>
      <x:c r="E106" s="92" t="str">
        <x:v>899999.5720449019</x:v>
      </x:c>
      <x:c r="F106" s="98" t="str">
        <x:v>0</x:v>
      </x:c>
      <x:c r="G106" s="98" t="str">
        <x:v>0</x:v>
      </x:c>
      <x:c r="H106" s="68" t="str">
        <x:v>扫描变量</x:v>
      </x:c>
      <x:c r="I106" s="68" t="str">
        <x:v>除标明参数外，其余BVD、源阻抗和匹配网络参数保持基准值</x:v>
      </x:c>
    </x:row>
    <x:row r="107">
      <x:c r="A107" s="68" t="str">
        <x:v>CASE_410_RS_P5</x:v>
      </x:c>
      <x:c r="B107" s="68" t="str">
        <x:v>Rs</x:v>
      </x:c>
      <x:c r="C107" s="68" t="str">
        <x:v>+5%</x:v>
      </x:c>
      <x:c r="D107" s="68" t="str">
        <x:v>Rs_ohm</x:v>
      </x:c>
      <x:c r="E107" s="92" t="str">
        <x:v>52.5</x:v>
      </x:c>
      <x:c r="F107" s="98" t="str">
        <x:v>1</x:v>
      </x:c>
      <x:c r="G107" s="98" t="str">
        <x:v>0</x:v>
      </x:c>
      <x:c r="H107" s="68" t="str">
        <x:v>扫描变量</x:v>
      </x:c>
      <x:c r="I107" s="68" t="str">
        <x:v>除标明参数外，其余BVD、源阻抗和匹配网络参数保持基准值</x:v>
      </x:c>
    </x:row>
    <x:row r="108">
      <x:c r="A108" s="68" t="str">
        <x:v>CASE_410_RS_P5</x:v>
      </x:c>
      <x:c r="B108" s="68" t="str">
        <x:v>Rs</x:v>
      </x:c>
      <x:c r="C108" s="68" t="str">
        <x:v>+5%</x:v>
      </x:c>
      <x:c r="D108" s="68" t="str">
        <x:v>Ls_H</x:v>
      </x:c>
      <x:c r="E108" s="92" t="str">
        <x:v>0.00012473</x:v>
      </x:c>
      <x:c r="F108" s="98" t="str">
        <x:v>0</x:v>
      </x:c>
      <x:c r="G108" s="98" t="str">
        <x:v>0</x:v>
      </x:c>
      <x:c r="H108" s="68" t="str">
        <x:v>扫描变量</x:v>
      </x:c>
      <x:c r="I108" s="68" t="str">
        <x:v>除标明参数外，其余BVD、源阻抗和匹配网络参数保持基准值</x:v>
      </x:c>
    </x:row>
    <x:row r="109">
      <x:c r="A109" s="68" t="str">
        <x:v>CASE_410_RS_P5</x:v>
      </x:c>
      <x:c r="B109" s="68" t="str">
        <x:v>Rs</x:v>
      </x:c>
      <x:c r="C109" s="68" t="str">
        <x:v>+5%</x:v>
      </x:c>
      <x:c r="D109" s="68" t="str">
        <x:v>Cp_F</x:v>
      </x:c>
      <x:c r="E109" s="92" t="str">
        <x:v>2.4796e-10</x:v>
      </x:c>
      <x:c r="F109" s="98" t="str">
        <x:v>0</x:v>
      </x:c>
      <x:c r="G109" s="98" t="str">
        <x:v>0</x:v>
      </x:c>
      <x:c r="H109" s="68" t="str">
        <x:v>扫描变量</x:v>
      </x:c>
      <x:c r="I109" s="68" t="str">
        <x:v>除标明参数外，其余BVD、源阻抗和匹配网络参数保持基准值</x:v>
      </x:c>
    </x:row>
    <x:row r="110">
      <x:c r="A110" s="68" t="str">
        <x:v>CASE_410_RS_P5</x:v>
      </x:c>
      <x:c r="B110" s="68" t="str">
        <x:v>Rs</x:v>
      </x:c>
      <x:c r="C110" s="68" t="str">
        <x:v>+5%</x:v>
      </x:c>
      <x:c r="D110" s="68" t="str">
        <x:v>inductor_Q</x:v>
      </x:c>
      <x:c r="E110" s="92" t="str">
        <x:v>100.0</x:v>
      </x:c>
      <x:c r="F110" s="98" t="str">
        <x:v>0</x:v>
      </x:c>
      <x:c r="G110" s="98" t="str">
        <x:v>0</x:v>
      </x:c>
      <x:c r="H110" s="68" t="str">
        <x:v>扫描变量</x:v>
      </x:c>
      <x:c r="I110" s="68" t="str">
        <x:v>除标明参数外，其余BVD、源阻抗和匹配网络参数保持基准值</x:v>
      </x:c>
    </x:row>
    <x:row r="111">
      <x:c r="A111" s="68" t="str">
        <x:v>CASE_410_RS_P5</x:v>
      </x:c>
      <x:c r="B111" s="68" t="str">
        <x:v>Rs</x:v>
      </x:c>
      <x:c r="C111" s="68" t="str">
        <x:v>+5%</x:v>
      </x:c>
      <x:c r="D111" s="68" t="str">
        <x:v>inductor_ESR_at_0p9MHz_ohm</x:v>
      </x:c>
      <x:c r="E111" s="92" t="str">
        <x:v>7.053315330280588</x:v>
      </x:c>
      <x:c r="F111" s="98" t="str">
        <x:v>0</x:v>
      </x:c>
      <x:c r="G111" s="98" t="str">
        <x:v>0</x:v>
      </x:c>
      <x:c r="H111" s="68" t="str">
        <x:v>扫描变量</x:v>
      </x:c>
      <x:c r="I111" s="68" t="str">
        <x:v>除标明参数外，其余BVD、源阻抗和匹配网络参数保持基准值</x:v>
      </x:c>
    </x:row>
    <x:row r="112">
      <x:c r="A112" s="68" t="str">
        <x:v>CASE_420_RS_P10</x:v>
      </x:c>
      <x:c r="B112" s="68" t="str">
        <x:v>Rs</x:v>
      </x:c>
      <x:c r="C112" s="68" t="str">
        <x:v>+10%</x:v>
      </x:c>
      <x:c r="D112" s="68" t="str">
        <x:v>C0_F</x:v>
      </x:c>
      <x:c r="E112" s="92" t="str">
        <x:v>1.5e-12</x:v>
      </x:c>
      <x:c r="F112" s="98" t="str">
        <x:v>0</x:v>
      </x:c>
      <x:c r="G112" s="98" t="str">
        <x:v>0</x:v>
      </x:c>
      <x:c r="H112" s="68" t="str">
        <x:v>扫描变量</x:v>
      </x:c>
      <x:c r="I112" s="68" t="str">
        <x:v>除标明参数外，其余BVD、源阻抗和匹配网络参数保持基准值</x:v>
      </x:c>
    </x:row>
    <x:row r="113">
      <x:c r="A113" s="68" t="str">
        <x:v>CASE_420_RS_P10</x:v>
      </x:c>
      <x:c r="B113" s="68" t="str">
        <x:v>Rs</x:v>
      </x:c>
      <x:c r="C113" s="68" t="str">
        <x:v>+10%</x:v>
      </x:c>
      <x:c r="D113" s="68" t="str">
        <x:v>Rm_ohm</x:v>
      </x:c>
      <x:c r="E113" s="92" t="str">
        <x:v>10000.0</x:v>
      </x:c>
      <x:c r="F113" s="98" t="str">
        <x:v>0</x:v>
      </x:c>
      <x:c r="G113" s="98" t="str">
        <x:v>0</x:v>
      </x:c>
      <x:c r="H113" s="68" t="str">
        <x:v>扫描变量</x:v>
      </x:c>
      <x:c r="I113" s="68" t="str">
        <x:v>除标明参数外，其余BVD、源阻抗和匹配网络参数保持基准值</x:v>
      </x:c>
    </x:row>
    <x:row r="114">
      <x:c r="A114" s="68" t="str">
        <x:v>CASE_420_RS_P10</x:v>
      </x:c>
      <x:c r="B114" s="68" t="str">
        <x:v>Rs</x:v>
      </x:c>
      <x:c r="C114" s="68" t="str">
        <x:v>+10%</x:v>
      </x:c>
      <x:c r="D114" s="68" t="str">
        <x:v>Lm_H</x:v>
      </x:c>
      <x:c r="E114" s="92" t="str">
        <x:v>0.1</x:v>
      </x:c>
      <x:c r="F114" s="98" t="str">
        <x:v>0</x:v>
      </x:c>
      <x:c r="G114" s="98" t="str">
        <x:v>0</x:v>
      </x:c>
      <x:c r="H114" s="68" t="str">
        <x:v>扫描变量</x:v>
      </x:c>
      <x:c r="I114" s="68" t="str">
        <x:v>除标明参数外，其余BVD、源阻抗和匹配网络参数保持基准值</x:v>
      </x:c>
    </x:row>
    <x:row r="115">
      <x:c r="A115" s="68" t="str">
        <x:v>CASE_420_RS_P10</x:v>
      </x:c>
      <x:c r="B115" s="68" t="str">
        <x:v>Rs</x:v>
      </x:c>
      <x:c r="C115" s="68" t="str">
        <x:v>+10%</x:v>
      </x:c>
      <x:c r="D115" s="68" t="str">
        <x:v>Cm_F</x:v>
      </x:c>
      <x:c r="E115" s="92" t="str">
        <x:v>3.1272e-13</x:v>
      </x:c>
      <x:c r="F115" s="98" t="str">
        <x:v>0</x:v>
      </x:c>
      <x:c r="G115" s="98" t="str">
        <x:v>0</x:v>
      </x:c>
      <x:c r="H115" s="68" t="str">
        <x:v>扫描变量</x:v>
      </x:c>
      <x:c r="I115" s="68" t="str">
        <x:v>除标明参数外，其余BVD、源阻抗和匹配网络参数保持基准值</x:v>
      </x:c>
    </x:row>
    <x:row r="116">
      <x:c r="A116" s="68" t="str">
        <x:v>CASE_420_RS_P10</x:v>
      </x:c>
      <x:c r="B116" s="68" t="str">
        <x:v>Rs</x:v>
      </x:c>
      <x:c r="C116" s="68" t="str">
        <x:v>+10%</x:v>
      </x:c>
      <x:c r="D116" s="68" t="str">
        <x:v>fs_derived_Hz</x:v>
      </x:c>
      <x:c r="E116" s="92" t="str">
        <x:v>899999.5720449019</x:v>
      </x:c>
      <x:c r="F116" s="98" t="str">
        <x:v>0</x:v>
      </x:c>
      <x:c r="G116" s="98" t="str">
        <x:v>0</x:v>
      </x:c>
      <x:c r="H116" s="68" t="str">
        <x:v>扫描变量</x:v>
      </x:c>
      <x:c r="I116" s="68" t="str">
        <x:v>除标明参数外，其余BVD、源阻抗和匹配网络参数保持基准值</x:v>
      </x:c>
    </x:row>
    <x:row r="117">
      <x:c r="A117" s="68" t="str">
        <x:v>CASE_420_RS_P10</x:v>
      </x:c>
      <x:c r="B117" s="68" t="str">
        <x:v>Rs</x:v>
      </x:c>
      <x:c r="C117" s="68" t="str">
        <x:v>+10%</x:v>
      </x:c>
      <x:c r="D117" s="68" t="str">
        <x:v>Rs_ohm</x:v>
      </x:c>
      <x:c r="E117" s="92" t="str">
        <x:v>55.00000000000001</x:v>
      </x:c>
      <x:c r="F117" s="98" t="str">
        <x:v>1</x:v>
      </x:c>
      <x:c r="G117" s="98" t="str">
        <x:v>0</x:v>
      </x:c>
      <x:c r="H117" s="68" t="str">
        <x:v>扫描变量</x:v>
      </x:c>
      <x:c r="I117" s="68" t="str">
        <x:v>除标明参数外，其余BVD、源阻抗和匹配网络参数保持基准值</x:v>
      </x:c>
    </x:row>
    <x:row r="118">
      <x:c r="A118" s="68" t="str">
        <x:v>CASE_420_RS_P10</x:v>
      </x:c>
      <x:c r="B118" s="68" t="str">
        <x:v>Rs</x:v>
      </x:c>
      <x:c r="C118" s="68" t="str">
        <x:v>+10%</x:v>
      </x:c>
      <x:c r="D118" s="68" t="str">
        <x:v>Ls_H</x:v>
      </x:c>
      <x:c r="E118" s="92" t="str">
        <x:v>0.00012473</x:v>
      </x:c>
      <x:c r="F118" s="98" t="str">
        <x:v>0</x:v>
      </x:c>
      <x:c r="G118" s="98" t="str">
        <x:v>0</x:v>
      </x:c>
      <x:c r="H118" s="68" t="str">
        <x:v>扫描变量</x:v>
      </x:c>
      <x:c r="I118" s="68" t="str">
        <x:v>除标明参数外，其余BVD、源阻抗和匹配网络参数保持基准值</x:v>
      </x:c>
    </x:row>
    <x:row r="119">
      <x:c r="A119" s="68" t="str">
        <x:v>CASE_420_RS_P10</x:v>
      </x:c>
      <x:c r="B119" s="68" t="str">
        <x:v>Rs</x:v>
      </x:c>
      <x:c r="C119" s="68" t="str">
        <x:v>+10%</x:v>
      </x:c>
      <x:c r="D119" s="68" t="str">
        <x:v>Cp_F</x:v>
      </x:c>
      <x:c r="E119" s="92" t="str">
        <x:v>2.4796e-10</x:v>
      </x:c>
      <x:c r="F119" s="98" t="str">
        <x:v>0</x:v>
      </x:c>
      <x:c r="G119" s="98" t="str">
        <x:v>0</x:v>
      </x:c>
      <x:c r="H119" s="68" t="str">
        <x:v>扫描变量</x:v>
      </x:c>
      <x:c r="I119" s="68" t="str">
        <x:v>除标明参数外，其余BVD、源阻抗和匹配网络参数保持基准值</x:v>
      </x:c>
    </x:row>
    <x:row r="120">
      <x:c r="A120" s="68" t="str">
        <x:v>CASE_420_RS_P10</x:v>
      </x:c>
      <x:c r="B120" s="68" t="str">
        <x:v>Rs</x:v>
      </x:c>
      <x:c r="C120" s="68" t="str">
        <x:v>+10%</x:v>
      </x:c>
      <x:c r="D120" s="68" t="str">
        <x:v>inductor_Q</x:v>
      </x:c>
      <x:c r="E120" s="92" t="str">
        <x:v>100.0</x:v>
      </x:c>
      <x:c r="F120" s="98" t="str">
        <x:v>0</x:v>
      </x:c>
      <x:c r="G120" s="98" t="str">
        <x:v>0</x:v>
      </x:c>
      <x:c r="H120" s="68" t="str">
        <x:v>扫描变量</x:v>
      </x:c>
      <x:c r="I120" s="68" t="str">
        <x:v>除标明参数外，其余BVD、源阻抗和匹配网络参数保持基准值</x:v>
      </x:c>
    </x:row>
    <x:row r="121">
      <x:c r="A121" s="68" t="str">
        <x:v>CASE_420_RS_P10</x:v>
      </x:c>
      <x:c r="B121" s="68" t="str">
        <x:v>Rs</x:v>
      </x:c>
      <x:c r="C121" s="68" t="str">
        <x:v>+10%</x:v>
      </x:c>
      <x:c r="D121" s="68" t="str">
        <x:v>inductor_ESR_at_0p9MHz_ohm</x:v>
      </x:c>
      <x:c r="E121" s="92" t="str">
        <x:v>7.053315330280588</x:v>
      </x:c>
      <x:c r="F121" s="98" t="str">
        <x:v>0</x:v>
      </x:c>
      <x:c r="G121" s="98" t="str">
        <x:v>0</x:v>
      </x:c>
      <x:c r="H121" s="68" t="str">
        <x:v>扫描变量</x:v>
      </x:c>
      <x:c r="I121" s="68" t="str">
        <x:v>除标明参数外，其余BVD、源阻抗和匹配网络参数保持基准值</x:v>
      </x:c>
    </x:row>
    <x:row r="122">
      <x:c r="A122" s="68" t="str">
        <x:v>CASE_430_RS_P20</x:v>
      </x:c>
      <x:c r="B122" s="68" t="str">
        <x:v>Rs</x:v>
      </x:c>
      <x:c r="C122" s="68" t="str">
        <x:v>+20%</x:v>
      </x:c>
      <x:c r="D122" s="68" t="str">
        <x:v>C0_F</x:v>
      </x:c>
      <x:c r="E122" s="92" t="str">
        <x:v>1.5e-12</x:v>
      </x:c>
      <x:c r="F122" s="98" t="str">
        <x:v>0</x:v>
      </x:c>
      <x:c r="G122" s="98" t="str">
        <x:v>0</x:v>
      </x:c>
      <x:c r="H122" s="68" t="str">
        <x:v>扫描变量</x:v>
      </x:c>
      <x:c r="I122" s="68" t="str">
        <x:v>除标明参数外，其余BVD、源阻抗和匹配网络参数保持基准值</x:v>
      </x:c>
    </x:row>
    <x:row r="123">
      <x:c r="A123" s="68" t="str">
        <x:v>CASE_430_RS_P20</x:v>
      </x:c>
      <x:c r="B123" s="68" t="str">
        <x:v>Rs</x:v>
      </x:c>
      <x:c r="C123" s="68" t="str">
        <x:v>+20%</x:v>
      </x:c>
      <x:c r="D123" s="68" t="str">
        <x:v>Rm_ohm</x:v>
      </x:c>
      <x:c r="E123" s="92" t="str">
        <x:v>10000.0</x:v>
      </x:c>
      <x:c r="F123" s="98" t="str">
        <x:v>0</x:v>
      </x:c>
      <x:c r="G123" s="98" t="str">
        <x:v>0</x:v>
      </x:c>
      <x:c r="H123" s="68" t="str">
        <x:v>扫描变量</x:v>
      </x:c>
      <x:c r="I123" s="68" t="str">
        <x:v>除标明参数外，其余BVD、源阻抗和匹配网络参数保持基准值</x:v>
      </x:c>
    </x:row>
    <x:row r="124">
      <x:c r="A124" s="68" t="str">
        <x:v>CASE_430_RS_P20</x:v>
      </x:c>
      <x:c r="B124" s="68" t="str">
        <x:v>Rs</x:v>
      </x:c>
      <x:c r="C124" s="68" t="str">
        <x:v>+20%</x:v>
      </x:c>
      <x:c r="D124" s="68" t="str">
        <x:v>Lm_H</x:v>
      </x:c>
      <x:c r="E124" s="92" t="str">
        <x:v>0.1</x:v>
      </x:c>
      <x:c r="F124" s="98" t="str">
        <x:v>0</x:v>
      </x:c>
      <x:c r="G124" s="98" t="str">
        <x:v>0</x:v>
      </x:c>
      <x:c r="H124" s="68" t="str">
        <x:v>扫描变量</x:v>
      </x:c>
      <x:c r="I124" s="68" t="str">
        <x:v>除标明参数外，其余BVD、源阻抗和匹配网络参数保持基准值</x:v>
      </x:c>
    </x:row>
    <x:row r="125">
      <x:c r="A125" s="68" t="str">
        <x:v>CASE_430_RS_P20</x:v>
      </x:c>
      <x:c r="B125" s="68" t="str">
        <x:v>Rs</x:v>
      </x:c>
      <x:c r="C125" s="68" t="str">
        <x:v>+20%</x:v>
      </x:c>
      <x:c r="D125" s="68" t="str">
        <x:v>Cm_F</x:v>
      </x:c>
      <x:c r="E125" s="92" t="str">
        <x:v>3.1272e-13</x:v>
      </x:c>
      <x:c r="F125" s="98" t="str">
        <x:v>0</x:v>
      </x:c>
      <x:c r="G125" s="98" t="str">
        <x:v>0</x:v>
      </x:c>
      <x:c r="H125" s="68" t="str">
        <x:v>扫描变量</x:v>
      </x:c>
      <x:c r="I125" s="68" t="str">
        <x:v>除标明参数外，其余BVD、源阻抗和匹配网络参数保持基准值</x:v>
      </x:c>
    </x:row>
    <x:row r="126">
      <x:c r="A126" s="68" t="str">
        <x:v>CASE_430_RS_P20</x:v>
      </x:c>
      <x:c r="B126" s="68" t="str">
        <x:v>Rs</x:v>
      </x:c>
      <x:c r="C126" s="68" t="str">
        <x:v>+20%</x:v>
      </x:c>
      <x:c r="D126" s="68" t="str">
        <x:v>fs_derived_Hz</x:v>
      </x:c>
      <x:c r="E126" s="92" t="str">
        <x:v>899999.5720449019</x:v>
      </x:c>
      <x:c r="F126" s="98" t="str">
        <x:v>0</x:v>
      </x:c>
      <x:c r="G126" s="98" t="str">
        <x:v>0</x:v>
      </x:c>
      <x:c r="H126" s="68" t="str">
        <x:v>扫描变量</x:v>
      </x:c>
      <x:c r="I126" s="68" t="str">
        <x:v>除标明参数外，其余BVD、源阻抗和匹配网络参数保持基准值</x:v>
      </x:c>
    </x:row>
    <x:row r="127">
      <x:c r="A127" s="68" t="str">
        <x:v>CASE_430_RS_P20</x:v>
      </x:c>
      <x:c r="B127" s="68" t="str">
        <x:v>Rs</x:v>
      </x:c>
      <x:c r="C127" s="68" t="str">
        <x:v>+20%</x:v>
      </x:c>
      <x:c r="D127" s="68" t="str">
        <x:v>Rs_ohm</x:v>
      </x:c>
      <x:c r="E127" s="92" t="str">
        <x:v>60.0</x:v>
      </x:c>
      <x:c r="F127" s="98" t="str">
        <x:v>1</x:v>
      </x:c>
      <x:c r="G127" s="98" t="str">
        <x:v>0</x:v>
      </x:c>
      <x:c r="H127" s="68" t="str">
        <x:v>扫描变量</x:v>
      </x:c>
      <x:c r="I127" s="68" t="str">
        <x:v>除标明参数外，其余BVD、源阻抗和匹配网络参数保持基准值</x:v>
      </x:c>
    </x:row>
    <x:row r="128">
      <x:c r="A128" s="68" t="str">
        <x:v>CASE_430_RS_P20</x:v>
      </x:c>
      <x:c r="B128" s="68" t="str">
        <x:v>Rs</x:v>
      </x:c>
      <x:c r="C128" s="68" t="str">
        <x:v>+20%</x:v>
      </x:c>
      <x:c r="D128" s="68" t="str">
        <x:v>Ls_H</x:v>
      </x:c>
      <x:c r="E128" s="92" t="str">
        <x:v>0.00012473</x:v>
      </x:c>
      <x:c r="F128" s="98" t="str">
        <x:v>0</x:v>
      </x:c>
      <x:c r="G128" s="98" t="str">
        <x:v>0</x:v>
      </x:c>
      <x:c r="H128" s="68" t="str">
        <x:v>扫描变量</x:v>
      </x:c>
      <x:c r="I128" s="68" t="str">
        <x:v>除标明参数外，其余BVD、源阻抗和匹配网络参数保持基准值</x:v>
      </x:c>
    </x:row>
    <x:row r="129">
      <x:c r="A129" s="68" t="str">
        <x:v>CASE_430_RS_P20</x:v>
      </x:c>
      <x:c r="B129" s="68" t="str">
        <x:v>Rs</x:v>
      </x:c>
      <x:c r="C129" s="68" t="str">
        <x:v>+20%</x:v>
      </x:c>
      <x:c r="D129" s="68" t="str">
        <x:v>Cp_F</x:v>
      </x:c>
      <x:c r="E129" s="92" t="str">
        <x:v>2.4796e-10</x:v>
      </x:c>
      <x:c r="F129" s="98" t="str">
        <x:v>0</x:v>
      </x:c>
      <x:c r="G129" s="98" t="str">
        <x:v>0</x:v>
      </x:c>
      <x:c r="H129" s="68" t="str">
        <x:v>扫描变量</x:v>
      </x:c>
      <x:c r="I129" s="68" t="str">
        <x:v>除标明参数外，其余BVD、源阻抗和匹配网络参数保持基准值</x:v>
      </x:c>
    </x:row>
    <x:row r="130">
      <x:c r="A130" s="68" t="str">
        <x:v>CASE_430_RS_P20</x:v>
      </x:c>
      <x:c r="B130" s="68" t="str">
        <x:v>Rs</x:v>
      </x:c>
      <x:c r="C130" s="68" t="str">
        <x:v>+20%</x:v>
      </x:c>
      <x:c r="D130" s="68" t="str">
        <x:v>inductor_Q</x:v>
      </x:c>
      <x:c r="E130" s="92" t="str">
        <x:v>100.0</x:v>
      </x:c>
      <x:c r="F130" s="98" t="str">
        <x:v>0</x:v>
      </x:c>
      <x:c r="G130" s="98" t="str">
        <x:v>0</x:v>
      </x:c>
      <x:c r="H130" s="68" t="str">
        <x:v>扫描变量</x:v>
      </x:c>
      <x:c r="I130" s="68" t="str">
        <x:v>除标明参数外，其余BVD、源阻抗和匹配网络参数保持基准值</x:v>
      </x:c>
    </x:row>
    <x:row r="131">
      <x:c r="A131" s="68" t="str">
        <x:v>CASE_430_RS_P20</x:v>
      </x:c>
      <x:c r="B131" s="68" t="str">
        <x:v>Rs</x:v>
      </x:c>
      <x:c r="C131" s="68" t="str">
        <x:v>+20%</x:v>
      </x:c>
      <x:c r="D131" s="68" t="str">
        <x:v>inductor_ESR_at_0p9MHz_ohm</x:v>
      </x:c>
      <x:c r="E131" s="92" t="str">
        <x:v>7.053315330280588</x:v>
      </x:c>
      <x:c r="F131" s="98" t="str">
        <x:v>0</x:v>
      </x:c>
      <x:c r="G131" s="98" t="str">
        <x:v>0</x:v>
      </x:c>
      <x:c r="H131" s="68" t="str">
        <x:v>扫描变量</x:v>
      </x:c>
      <x:c r="I131" s="68" t="str">
        <x:v>除标明参数外，其余BVD、源阻抗和匹配网络参数保持基准值</x:v>
      </x:c>
    </x:row>
    <x:row r="132">
      <x:c r="A132" s="68" t="str">
        <x:v>CASE_510_LS_P2</x:v>
      </x:c>
      <x:c r="B132" s="68" t="str">
        <x:v>Ls</x:v>
      </x:c>
      <x:c r="C132" s="68" t="str">
        <x:v>+2%</x:v>
      </x:c>
      <x:c r="D132" s="68" t="str">
        <x:v>C0_F</x:v>
      </x:c>
      <x:c r="E132" s="92" t="str">
        <x:v>1.5e-12</x:v>
      </x:c>
      <x:c r="F132" s="98" t="str">
        <x:v>0</x:v>
      </x:c>
      <x:c r="G132" s="98" t="str">
        <x:v>0</x:v>
      </x:c>
      <x:c r="H132" s="68" t="str">
        <x:v>扫描变量</x:v>
      </x:c>
      <x:c r="I132" s="68" t="str">
        <x:v>除标明参数外，其余BVD、源阻抗和匹配网络参数保持基准值</x:v>
      </x:c>
    </x:row>
    <x:row r="133">
      <x:c r="A133" s="68" t="str">
        <x:v>CASE_510_LS_P2</x:v>
      </x:c>
      <x:c r="B133" s="68" t="str">
        <x:v>Ls</x:v>
      </x:c>
      <x:c r="C133" s="68" t="str">
        <x:v>+2%</x:v>
      </x:c>
      <x:c r="D133" s="68" t="str">
        <x:v>Rm_ohm</x:v>
      </x:c>
      <x:c r="E133" s="92" t="str">
        <x:v>10000.0</x:v>
      </x:c>
      <x:c r="F133" s="98" t="str">
        <x:v>0</x:v>
      </x:c>
      <x:c r="G133" s="98" t="str">
        <x:v>0</x:v>
      </x:c>
      <x:c r="H133" s="68" t="str">
        <x:v>扫描变量</x:v>
      </x:c>
      <x:c r="I133" s="68" t="str">
        <x:v>除标明参数外，其余BVD、源阻抗和匹配网络参数保持基准值</x:v>
      </x:c>
    </x:row>
    <x:row r="134">
      <x:c r="A134" s="68" t="str">
        <x:v>CASE_510_LS_P2</x:v>
      </x:c>
      <x:c r="B134" s="68" t="str">
        <x:v>Ls</x:v>
      </x:c>
      <x:c r="C134" s="68" t="str">
        <x:v>+2%</x:v>
      </x:c>
      <x:c r="D134" s="68" t="str">
        <x:v>Lm_H</x:v>
      </x:c>
      <x:c r="E134" s="92" t="str">
        <x:v>0.1</x:v>
      </x:c>
      <x:c r="F134" s="98" t="str">
        <x:v>0</x:v>
      </x:c>
      <x:c r="G134" s="98" t="str">
        <x:v>0</x:v>
      </x:c>
      <x:c r="H134" s="68" t="str">
        <x:v>扫描变量</x:v>
      </x:c>
      <x:c r="I134" s="68" t="str">
        <x:v>除标明参数外，其余BVD、源阻抗和匹配网络参数保持基准值</x:v>
      </x:c>
    </x:row>
    <x:row r="135">
      <x:c r="A135" s="68" t="str">
        <x:v>CASE_510_LS_P2</x:v>
      </x:c>
      <x:c r="B135" s="68" t="str">
        <x:v>Ls</x:v>
      </x:c>
      <x:c r="C135" s="68" t="str">
        <x:v>+2%</x:v>
      </x:c>
      <x:c r="D135" s="68" t="str">
        <x:v>Cm_F</x:v>
      </x:c>
      <x:c r="E135" s="92" t="str">
        <x:v>3.1272e-13</x:v>
      </x:c>
      <x:c r="F135" s="98" t="str">
        <x:v>0</x:v>
      </x:c>
      <x:c r="G135" s="98" t="str">
        <x:v>0</x:v>
      </x:c>
      <x:c r="H135" s="68" t="str">
        <x:v>扫描变量</x:v>
      </x:c>
      <x:c r="I135" s="68" t="str">
        <x:v>除标明参数外，其余BVD、源阻抗和匹配网络参数保持基准值</x:v>
      </x:c>
    </x:row>
    <x:row r="136">
      <x:c r="A136" s="68" t="str">
        <x:v>CASE_510_LS_P2</x:v>
      </x:c>
      <x:c r="B136" s="68" t="str">
        <x:v>Ls</x:v>
      </x:c>
      <x:c r="C136" s="68" t="str">
        <x:v>+2%</x:v>
      </x:c>
      <x:c r="D136" s="68" t="str">
        <x:v>fs_derived_Hz</x:v>
      </x:c>
      <x:c r="E136" s="92" t="str">
        <x:v>899999.5720449019</x:v>
      </x:c>
      <x:c r="F136" s="98" t="str">
        <x:v>0</x:v>
      </x:c>
      <x:c r="G136" s="98" t="str">
        <x:v>0</x:v>
      </x:c>
      <x:c r="H136" s="68" t="str">
        <x:v>扫描变量</x:v>
      </x:c>
      <x:c r="I136" s="68" t="str">
        <x:v>除标明参数外，其余BVD、源阻抗和匹配网络参数保持基准值</x:v>
      </x:c>
    </x:row>
    <x:row r="137">
      <x:c r="A137" s="68" t="str">
        <x:v>CASE_510_LS_P2</x:v>
      </x:c>
      <x:c r="B137" s="68" t="str">
        <x:v>Ls</x:v>
      </x:c>
      <x:c r="C137" s="68" t="str">
        <x:v>+2%</x:v>
      </x:c>
      <x:c r="D137" s="68" t="str">
        <x:v>Rs_ohm</x:v>
      </x:c>
      <x:c r="E137" s="92" t="str">
        <x:v>50.0</x:v>
      </x:c>
      <x:c r="F137" s="98" t="str">
        <x:v>0</x:v>
      </x:c>
      <x:c r="G137" s="98" t="str">
        <x:v>0</x:v>
      </x:c>
      <x:c r="H137" s="68" t="str">
        <x:v>扫描变量</x:v>
      </x:c>
      <x:c r="I137" s="68" t="str">
        <x:v>除标明参数外，其余BVD、源阻抗和匹配网络参数保持基准值</x:v>
      </x:c>
    </x:row>
    <x:row r="138">
      <x:c r="A138" s="68" t="str">
        <x:v>CASE_510_LS_P2</x:v>
      </x:c>
      <x:c r="B138" s="68" t="str">
        <x:v>Ls</x:v>
      </x:c>
      <x:c r="C138" s="68" t="str">
        <x:v>+2%</x:v>
      </x:c>
      <x:c r="D138" s="68" t="str">
        <x:v>Ls_H</x:v>
      </x:c>
      <x:c r="E138" s="92" t="str">
        <x:v>0.00012722460000000002</x:v>
      </x:c>
      <x:c r="F138" s="98" t="str">
        <x:v>1</x:v>
      </x:c>
      <x:c r="G138" s="98" t="str">
        <x:v>0</x:v>
      </x:c>
      <x:c r="H138" s="68" t="str">
        <x:v>扫描变量</x:v>
      </x:c>
      <x:c r="I138" s="68" t="str">
        <x:v>除标明参数外，其余BVD、源阻抗和匹配网络参数保持基准值</x:v>
      </x:c>
    </x:row>
    <x:row r="139">
      <x:c r="A139" s="68" t="str">
        <x:v>CASE_510_LS_P2</x:v>
      </x:c>
      <x:c r="B139" s="68" t="str">
        <x:v>Ls</x:v>
      </x:c>
      <x:c r="C139" s="68" t="str">
        <x:v>+2%</x:v>
      </x:c>
      <x:c r="D139" s="68" t="str">
        <x:v>Cp_F</x:v>
      </x:c>
      <x:c r="E139" s="92" t="str">
        <x:v>2.4796e-10</x:v>
      </x:c>
      <x:c r="F139" s="98" t="str">
        <x:v>0</x:v>
      </x:c>
      <x:c r="G139" s="98" t="str">
        <x:v>0</x:v>
      </x:c>
      <x:c r="H139" s="68" t="str">
        <x:v>扫描变量</x:v>
      </x:c>
      <x:c r="I139" s="68" t="str">
        <x:v>除标明参数外，其余BVD、源阻抗和匹配网络参数保持基准值</x:v>
      </x:c>
    </x:row>
    <x:row r="140">
      <x:c r="A140" s="68" t="str">
        <x:v>CASE_510_LS_P2</x:v>
      </x:c>
      <x:c r="B140" s="68" t="str">
        <x:v>Ls</x:v>
      </x:c>
      <x:c r="C140" s="68" t="str">
        <x:v>+2%</x:v>
      </x:c>
      <x:c r="D140" s="68" t="str">
        <x:v>inductor_Q</x:v>
      </x:c>
      <x:c r="E140" s="92" t="str">
        <x:v>100.0</x:v>
      </x:c>
      <x:c r="F140" s="98" t="str">
        <x:v>0</x:v>
      </x:c>
      <x:c r="G140" s="98" t="str">
        <x:v>0</x:v>
      </x:c>
      <x:c r="H140" s="68" t="str">
        <x:v>扫描变量</x:v>
      </x:c>
      <x:c r="I140" s="68" t="str">
        <x:v>除标明参数外，其余BVD、源阻抗和匹配网络参数保持基准值</x:v>
      </x:c>
    </x:row>
    <x:row r="141">
      <x:c r="A141" s="68" t="str">
        <x:v>CASE_510_LS_P2</x:v>
      </x:c>
      <x:c r="B141" s="68" t="str">
        <x:v>Ls</x:v>
      </x:c>
      <x:c r="C141" s="68" t="str">
        <x:v>+2%</x:v>
      </x:c>
      <x:c r="D141" s="68" t="str">
        <x:v>inductor_ESR_at_0p9MHz_ohm</x:v>
      </x:c>
      <x:c r="E141" s="92" t="str">
        <x:v>7.194381636886201</x:v>
      </x:c>
      <x:c r="F141" s="98" t="str">
        <x:v>0</x:v>
      </x:c>
      <x:c r="G141" s="98" t="str">
        <x:v>1</x:v>
      </x:c>
      <x:c r="H141" s="68" t="str">
        <x:v>扫描变量</x:v>
      </x:c>
      <x:c r="I141" s="68" t="str">
        <x:v>除标明参数外，其余BVD、源阻抗和匹配网络参数保持基准值</x:v>
      </x:c>
    </x:row>
    <x:row r="142">
      <x:c r="A142" s="68" t="str">
        <x:v>CASE_520_LS_P5</x:v>
      </x:c>
      <x:c r="B142" s="68" t="str">
        <x:v>Ls</x:v>
      </x:c>
      <x:c r="C142" s="68" t="str">
        <x:v>+5%</x:v>
      </x:c>
      <x:c r="D142" s="68" t="str">
        <x:v>C0_F</x:v>
      </x:c>
      <x:c r="E142" s="92" t="str">
        <x:v>1.5e-12</x:v>
      </x:c>
      <x:c r="F142" s="98" t="str">
        <x:v>0</x:v>
      </x:c>
      <x:c r="G142" s="98" t="str">
        <x:v>0</x:v>
      </x:c>
      <x:c r="H142" s="68" t="str">
        <x:v>扫描变量</x:v>
      </x:c>
      <x:c r="I142" s="68" t="str">
        <x:v>除标明参数外，其余BVD、源阻抗和匹配网络参数保持基准值</x:v>
      </x:c>
    </x:row>
    <x:row r="143">
      <x:c r="A143" s="68" t="str">
        <x:v>CASE_520_LS_P5</x:v>
      </x:c>
      <x:c r="B143" s="68" t="str">
        <x:v>Ls</x:v>
      </x:c>
      <x:c r="C143" s="68" t="str">
        <x:v>+5%</x:v>
      </x:c>
      <x:c r="D143" s="68" t="str">
        <x:v>Rm_ohm</x:v>
      </x:c>
      <x:c r="E143" s="92" t="str">
        <x:v>10000.0</x:v>
      </x:c>
      <x:c r="F143" s="98" t="str">
        <x:v>0</x:v>
      </x:c>
      <x:c r="G143" s="98" t="str">
        <x:v>0</x:v>
      </x:c>
      <x:c r="H143" s="68" t="str">
        <x:v>扫描变量</x:v>
      </x:c>
      <x:c r="I143" s="68" t="str">
        <x:v>除标明参数外，其余BVD、源阻抗和匹配网络参数保持基准值</x:v>
      </x:c>
    </x:row>
    <x:row r="144">
      <x:c r="A144" s="68" t="str">
        <x:v>CASE_520_LS_P5</x:v>
      </x:c>
      <x:c r="B144" s="68" t="str">
        <x:v>Ls</x:v>
      </x:c>
      <x:c r="C144" s="68" t="str">
        <x:v>+5%</x:v>
      </x:c>
      <x:c r="D144" s="68" t="str">
        <x:v>Lm_H</x:v>
      </x:c>
      <x:c r="E144" s="92" t="str">
        <x:v>0.1</x:v>
      </x:c>
      <x:c r="F144" s="98" t="str">
        <x:v>0</x:v>
      </x:c>
      <x:c r="G144" s="98" t="str">
        <x:v>0</x:v>
      </x:c>
      <x:c r="H144" s="68" t="str">
        <x:v>扫描变量</x:v>
      </x:c>
      <x:c r="I144" s="68" t="str">
        <x:v>除标明参数外，其余BVD、源阻抗和匹配网络参数保持基准值</x:v>
      </x:c>
    </x:row>
    <x:row r="145">
      <x:c r="A145" s="68" t="str">
        <x:v>CASE_520_LS_P5</x:v>
      </x:c>
      <x:c r="B145" s="68" t="str">
        <x:v>Ls</x:v>
      </x:c>
      <x:c r="C145" s="68" t="str">
        <x:v>+5%</x:v>
      </x:c>
      <x:c r="D145" s="68" t="str">
        <x:v>Cm_F</x:v>
      </x:c>
      <x:c r="E145" s="92" t="str">
        <x:v>3.1272e-13</x:v>
      </x:c>
      <x:c r="F145" s="98" t="str">
        <x:v>0</x:v>
      </x:c>
      <x:c r="G145" s="98" t="str">
        <x:v>0</x:v>
      </x:c>
      <x:c r="H145" s="68" t="str">
        <x:v>扫描变量</x:v>
      </x:c>
      <x:c r="I145" s="68" t="str">
        <x:v>除标明参数外，其余BVD、源阻抗和匹配网络参数保持基准值</x:v>
      </x:c>
    </x:row>
    <x:row r="146">
      <x:c r="A146" s="68" t="str">
        <x:v>CASE_520_LS_P5</x:v>
      </x:c>
      <x:c r="B146" s="68" t="str">
        <x:v>Ls</x:v>
      </x:c>
      <x:c r="C146" s="68" t="str">
        <x:v>+5%</x:v>
      </x:c>
      <x:c r="D146" s="68" t="str">
        <x:v>fs_derived_Hz</x:v>
      </x:c>
      <x:c r="E146" s="92" t="str">
        <x:v>899999.5720449019</x:v>
      </x:c>
      <x:c r="F146" s="98" t="str">
        <x:v>0</x:v>
      </x:c>
      <x:c r="G146" s="98" t="str">
        <x:v>0</x:v>
      </x:c>
      <x:c r="H146" s="68" t="str">
        <x:v>扫描变量</x:v>
      </x:c>
      <x:c r="I146" s="68" t="str">
        <x:v>除标明参数外，其余BVD、源阻抗和匹配网络参数保持基准值</x:v>
      </x:c>
    </x:row>
    <x:row r="147">
      <x:c r="A147" s="68" t="str">
        <x:v>CASE_520_LS_P5</x:v>
      </x:c>
      <x:c r="B147" s="68" t="str">
        <x:v>Ls</x:v>
      </x:c>
      <x:c r="C147" s="68" t="str">
        <x:v>+5%</x:v>
      </x:c>
      <x:c r="D147" s="68" t="str">
        <x:v>Rs_ohm</x:v>
      </x:c>
      <x:c r="E147" s="92" t="str">
        <x:v>50.0</x:v>
      </x:c>
      <x:c r="F147" s="98" t="str">
        <x:v>0</x:v>
      </x:c>
      <x:c r="G147" s="98" t="str">
        <x:v>0</x:v>
      </x:c>
      <x:c r="H147" s="68" t="str">
        <x:v>扫描变量</x:v>
      </x:c>
      <x:c r="I147" s="68" t="str">
        <x:v>除标明参数外，其余BVD、源阻抗和匹配网络参数保持基准值</x:v>
      </x:c>
    </x:row>
    <x:row r="148">
      <x:c r="A148" s="68" t="str">
        <x:v>CASE_520_LS_P5</x:v>
      </x:c>
      <x:c r="B148" s="68" t="str">
        <x:v>Ls</x:v>
      </x:c>
      <x:c r="C148" s="68" t="str">
        <x:v>+5%</x:v>
      </x:c>
      <x:c r="D148" s="68" t="str">
        <x:v>Ls_H</x:v>
      </x:c>
      <x:c r="E148" s="92" t="str">
        <x:v>0.0001309665</x:v>
      </x:c>
      <x:c r="F148" s="98" t="str">
        <x:v>1</x:v>
      </x:c>
      <x:c r="G148" s="98" t="str">
        <x:v>0</x:v>
      </x:c>
      <x:c r="H148" s="68" t="str">
        <x:v>扫描变量</x:v>
      </x:c>
      <x:c r="I148" s="68" t="str">
        <x:v>除标明参数外，其余BVD、源阻抗和匹配网络参数保持基准值</x:v>
      </x:c>
    </x:row>
    <x:row r="149">
      <x:c r="A149" s="68" t="str">
        <x:v>CASE_520_LS_P5</x:v>
      </x:c>
      <x:c r="B149" s="68" t="str">
        <x:v>Ls</x:v>
      </x:c>
      <x:c r="C149" s="68" t="str">
        <x:v>+5%</x:v>
      </x:c>
      <x:c r="D149" s="68" t="str">
        <x:v>Cp_F</x:v>
      </x:c>
      <x:c r="E149" s="92" t="str">
        <x:v>2.4796e-10</x:v>
      </x:c>
      <x:c r="F149" s="98" t="str">
        <x:v>0</x:v>
      </x:c>
      <x:c r="G149" s="98" t="str">
        <x:v>0</x:v>
      </x:c>
      <x:c r="H149" s="68" t="str">
        <x:v>扫描变量</x:v>
      </x:c>
      <x:c r="I149" s="68" t="str">
        <x:v>除标明参数外，其余BVD、源阻抗和匹配网络参数保持基准值</x:v>
      </x:c>
    </x:row>
    <x:row r="150">
      <x:c r="A150" s="68" t="str">
        <x:v>CASE_520_LS_P5</x:v>
      </x:c>
      <x:c r="B150" s="68" t="str">
        <x:v>Ls</x:v>
      </x:c>
      <x:c r="C150" s="68" t="str">
        <x:v>+5%</x:v>
      </x:c>
      <x:c r="D150" s="68" t="str">
        <x:v>inductor_Q</x:v>
      </x:c>
      <x:c r="E150" s="92" t="str">
        <x:v>100.0</x:v>
      </x:c>
      <x:c r="F150" s="98" t="str">
        <x:v>0</x:v>
      </x:c>
      <x:c r="G150" s="98" t="str">
        <x:v>0</x:v>
      </x:c>
      <x:c r="H150" s="68" t="str">
        <x:v>扫描变量</x:v>
      </x:c>
      <x:c r="I150" s="68" t="str">
        <x:v>除标明参数外，其余BVD、源阻抗和匹配网络参数保持基准值</x:v>
      </x:c>
    </x:row>
    <x:row r="151">
      <x:c r="A151" s="68" t="str">
        <x:v>CASE_520_LS_P5</x:v>
      </x:c>
      <x:c r="B151" s="68" t="str">
        <x:v>Ls</x:v>
      </x:c>
      <x:c r="C151" s="68" t="str">
        <x:v>+5%</x:v>
      </x:c>
      <x:c r="D151" s="68" t="str">
        <x:v>inductor_ESR_at_0p9MHz_ohm</x:v>
      </x:c>
      <x:c r="E151" s="92" t="str">
        <x:v>7.4059810967946165</x:v>
      </x:c>
      <x:c r="F151" s="98" t="str">
        <x:v>0</x:v>
      </x:c>
      <x:c r="G151" s="98" t="str">
        <x:v>1</x:v>
      </x:c>
      <x:c r="H151" s="68" t="str">
        <x:v>扫描变量</x:v>
      </x:c>
      <x:c r="I151" s="68" t="str">
        <x:v>除标明参数外，其余BVD、源阻抗和匹配网络参数保持基准值</x:v>
      </x:c>
    </x:row>
    <x:row r="152">
      <x:c r="A152" s="68" t="str">
        <x:v>CASE_530_LS_P10</x:v>
      </x:c>
      <x:c r="B152" s="68" t="str">
        <x:v>Ls</x:v>
      </x:c>
      <x:c r="C152" s="68" t="str">
        <x:v>+10%</x:v>
      </x:c>
      <x:c r="D152" s="68" t="str">
        <x:v>C0_F</x:v>
      </x:c>
      <x:c r="E152" s="92" t="str">
        <x:v>1.5e-12</x:v>
      </x:c>
      <x:c r="F152" s="98" t="str">
        <x:v>0</x:v>
      </x:c>
      <x:c r="G152" s="98" t="str">
        <x:v>0</x:v>
      </x:c>
      <x:c r="H152" s="68" t="str">
        <x:v>扫描变量</x:v>
      </x:c>
      <x:c r="I152" s="68" t="str">
        <x:v>除标明参数外，其余BVD、源阻抗和匹配网络参数保持基准值</x:v>
      </x:c>
    </x:row>
    <x:row r="153">
      <x:c r="A153" s="68" t="str">
        <x:v>CASE_530_LS_P10</x:v>
      </x:c>
      <x:c r="B153" s="68" t="str">
        <x:v>Ls</x:v>
      </x:c>
      <x:c r="C153" s="68" t="str">
        <x:v>+10%</x:v>
      </x:c>
      <x:c r="D153" s="68" t="str">
        <x:v>Rm_ohm</x:v>
      </x:c>
      <x:c r="E153" s="92" t="str">
        <x:v>10000.0</x:v>
      </x:c>
      <x:c r="F153" s="98" t="str">
        <x:v>0</x:v>
      </x:c>
      <x:c r="G153" s="98" t="str">
        <x:v>0</x:v>
      </x:c>
      <x:c r="H153" s="68" t="str">
        <x:v>扫描变量</x:v>
      </x:c>
      <x:c r="I153" s="68" t="str">
        <x:v>除标明参数外，其余BVD、源阻抗和匹配网络参数保持基准值</x:v>
      </x:c>
    </x:row>
    <x:row r="154">
      <x:c r="A154" s="68" t="str">
        <x:v>CASE_530_LS_P10</x:v>
      </x:c>
      <x:c r="B154" s="68" t="str">
        <x:v>Ls</x:v>
      </x:c>
      <x:c r="C154" s="68" t="str">
        <x:v>+10%</x:v>
      </x:c>
      <x:c r="D154" s="68" t="str">
        <x:v>Lm_H</x:v>
      </x:c>
      <x:c r="E154" s="92" t="str">
        <x:v>0.1</x:v>
      </x:c>
      <x:c r="F154" s="98" t="str">
        <x:v>0</x:v>
      </x:c>
      <x:c r="G154" s="98" t="str">
        <x:v>0</x:v>
      </x:c>
      <x:c r="H154" s="68" t="str">
        <x:v>扫描变量</x:v>
      </x:c>
      <x:c r="I154" s="68" t="str">
        <x:v>除标明参数外，其余BVD、源阻抗和匹配网络参数保持基准值</x:v>
      </x:c>
    </x:row>
    <x:row r="155">
      <x:c r="A155" s="68" t="str">
        <x:v>CASE_530_LS_P10</x:v>
      </x:c>
      <x:c r="B155" s="68" t="str">
        <x:v>Ls</x:v>
      </x:c>
      <x:c r="C155" s="68" t="str">
        <x:v>+10%</x:v>
      </x:c>
      <x:c r="D155" s="68" t="str">
        <x:v>Cm_F</x:v>
      </x:c>
      <x:c r="E155" s="92" t="str">
        <x:v>3.1272e-13</x:v>
      </x:c>
      <x:c r="F155" s="98" t="str">
        <x:v>0</x:v>
      </x:c>
      <x:c r="G155" s="98" t="str">
        <x:v>0</x:v>
      </x:c>
      <x:c r="H155" s="68" t="str">
        <x:v>扫描变量</x:v>
      </x:c>
      <x:c r="I155" s="68" t="str">
        <x:v>除标明参数外，其余BVD、源阻抗和匹配网络参数保持基准值</x:v>
      </x:c>
    </x:row>
    <x:row r="156">
      <x:c r="A156" s="68" t="str">
        <x:v>CASE_530_LS_P10</x:v>
      </x:c>
      <x:c r="B156" s="68" t="str">
        <x:v>Ls</x:v>
      </x:c>
      <x:c r="C156" s="68" t="str">
        <x:v>+10%</x:v>
      </x:c>
      <x:c r="D156" s="68" t="str">
        <x:v>fs_derived_Hz</x:v>
      </x:c>
      <x:c r="E156" s="92" t="str">
        <x:v>899999.5720449019</x:v>
      </x:c>
      <x:c r="F156" s="98" t="str">
        <x:v>0</x:v>
      </x:c>
      <x:c r="G156" s="98" t="str">
        <x:v>0</x:v>
      </x:c>
      <x:c r="H156" s="68" t="str">
        <x:v>扫描变量</x:v>
      </x:c>
      <x:c r="I156" s="68" t="str">
        <x:v>除标明参数外，其余BVD、源阻抗和匹配网络参数保持基准值</x:v>
      </x:c>
    </x:row>
    <x:row r="157">
      <x:c r="A157" s="68" t="str">
        <x:v>CASE_530_LS_P10</x:v>
      </x:c>
      <x:c r="B157" s="68" t="str">
        <x:v>Ls</x:v>
      </x:c>
      <x:c r="C157" s="68" t="str">
        <x:v>+10%</x:v>
      </x:c>
      <x:c r="D157" s="68" t="str">
        <x:v>Rs_ohm</x:v>
      </x:c>
      <x:c r="E157" s="92" t="str">
        <x:v>50.0</x:v>
      </x:c>
      <x:c r="F157" s="98" t="str">
        <x:v>0</x:v>
      </x:c>
      <x:c r="G157" s="98" t="str">
        <x:v>0</x:v>
      </x:c>
      <x:c r="H157" s="68" t="str">
        <x:v>扫描变量</x:v>
      </x:c>
      <x:c r="I157" s="68" t="str">
        <x:v>除标明参数外，其余BVD、源阻抗和匹配网络参数保持基准值</x:v>
      </x:c>
    </x:row>
    <x:row r="158">
      <x:c r="A158" s="68" t="str">
        <x:v>CASE_530_LS_P10</x:v>
      </x:c>
      <x:c r="B158" s="68" t="str">
        <x:v>Ls</x:v>
      </x:c>
      <x:c r="C158" s="68" t="str">
        <x:v>+10%</x:v>
      </x:c>
      <x:c r="D158" s="68" t="str">
        <x:v>Ls_H</x:v>
      </x:c>
      <x:c r="E158" s="92" t="str">
        <x:v>0.00013720300000000002</x:v>
      </x:c>
      <x:c r="F158" s="98" t="str">
        <x:v>1</x:v>
      </x:c>
      <x:c r="G158" s="98" t="str">
        <x:v>0</x:v>
      </x:c>
      <x:c r="H158" s="68" t="str">
        <x:v>扫描变量</x:v>
      </x:c>
      <x:c r="I158" s="68" t="str">
        <x:v>除标明参数外，其余BVD、源阻抗和匹配网络参数保持基准值</x:v>
      </x:c>
    </x:row>
    <x:row r="159">
      <x:c r="A159" s="68" t="str">
        <x:v>CASE_530_LS_P10</x:v>
      </x:c>
      <x:c r="B159" s="68" t="str">
        <x:v>Ls</x:v>
      </x:c>
      <x:c r="C159" s="68" t="str">
        <x:v>+10%</x:v>
      </x:c>
      <x:c r="D159" s="68" t="str">
        <x:v>Cp_F</x:v>
      </x:c>
      <x:c r="E159" s="92" t="str">
        <x:v>2.4796e-10</x:v>
      </x:c>
      <x:c r="F159" s="98" t="str">
        <x:v>0</x:v>
      </x:c>
      <x:c r="G159" s="98" t="str">
        <x:v>0</x:v>
      </x:c>
      <x:c r="H159" s="68" t="str">
        <x:v>扫描变量</x:v>
      </x:c>
      <x:c r="I159" s="68" t="str">
        <x:v>除标明参数外，其余BVD、源阻抗和匹配网络参数保持基准值</x:v>
      </x:c>
    </x:row>
    <x:row r="160">
      <x:c r="A160" s="68" t="str">
        <x:v>CASE_530_LS_P10</x:v>
      </x:c>
      <x:c r="B160" s="68" t="str">
        <x:v>Ls</x:v>
      </x:c>
      <x:c r="C160" s="68" t="str">
        <x:v>+10%</x:v>
      </x:c>
      <x:c r="D160" s="68" t="str">
        <x:v>inductor_Q</x:v>
      </x:c>
      <x:c r="E160" s="92" t="str">
        <x:v>100.0</x:v>
      </x:c>
      <x:c r="F160" s="98" t="str">
        <x:v>0</x:v>
      </x:c>
      <x:c r="G160" s="98" t="str">
        <x:v>0</x:v>
      </x:c>
      <x:c r="H160" s="68" t="str">
        <x:v>扫描变量</x:v>
      </x:c>
      <x:c r="I160" s="68" t="str">
        <x:v>除标明参数外，其余BVD、源阻抗和匹配网络参数保持基准值</x:v>
      </x:c>
    </x:row>
    <x:row r="161">
      <x:c r="A161" s="68" t="str">
        <x:v>CASE_530_LS_P10</x:v>
      </x:c>
      <x:c r="B161" s="68" t="str">
        <x:v>Ls</x:v>
      </x:c>
      <x:c r="C161" s="68" t="str">
        <x:v>+10%</x:v>
      </x:c>
      <x:c r="D161" s="68" t="str">
        <x:v>inductor_ESR_at_0p9MHz_ohm</x:v>
      </x:c>
      <x:c r="E161" s="92" t="str">
        <x:v>7.758646863308647</x:v>
      </x:c>
      <x:c r="F161" s="98" t="str">
        <x:v>0</x:v>
      </x:c>
      <x:c r="G161" s="98" t="str">
        <x:v>1</x:v>
      </x:c>
      <x:c r="H161" s="68" t="str">
        <x:v>扫描变量</x:v>
      </x:c>
      <x:c r="I161" s="68" t="str">
        <x:v>除标明参数外，其余BVD、源阻抗和匹配网络参数保持基准值</x:v>
      </x:c>
    </x:row>
    <x:row r="162">
      <x:c r="A162" s="68" t="str">
        <x:v>CASE_610_CP_M2</x:v>
      </x:c>
      <x:c r="B162" s="68" t="str">
        <x:v>Cp</x:v>
      </x:c>
      <x:c r="C162" s="68" t="str">
        <x:v>-2%</x:v>
      </x:c>
      <x:c r="D162" s="68" t="str">
        <x:v>C0_F</x:v>
      </x:c>
      <x:c r="E162" s="92" t="str">
        <x:v>1.5e-12</x:v>
      </x:c>
      <x:c r="F162" s="98" t="str">
        <x:v>0</x:v>
      </x:c>
      <x:c r="G162" s="98" t="str">
        <x:v>0</x:v>
      </x:c>
      <x:c r="H162" s="68" t="str">
        <x:v>扫描变量</x:v>
      </x:c>
      <x:c r="I162" s="68" t="str">
        <x:v>除标明参数外，其余BVD、源阻抗和匹配网络参数保持基准值</x:v>
      </x:c>
    </x:row>
    <x:row r="163">
      <x:c r="A163" s="68" t="str">
        <x:v>CASE_610_CP_M2</x:v>
      </x:c>
      <x:c r="B163" s="68" t="str">
        <x:v>Cp</x:v>
      </x:c>
      <x:c r="C163" s="68" t="str">
        <x:v>-2%</x:v>
      </x:c>
      <x:c r="D163" s="68" t="str">
        <x:v>Rm_ohm</x:v>
      </x:c>
      <x:c r="E163" s="92" t="str">
        <x:v>10000.0</x:v>
      </x:c>
      <x:c r="F163" s="98" t="str">
        <x:v>0</x:v>
      </x:c>
      <x:c r="G163" s="98" t="str">
        <x:v>0</x:v>
      </x:c>
      <x:c r="H163" s="68" t="str">
        <x:v>扫描变量</x:v>
      </x:c>
      <x:c r="I163" s="68" t="str">
        <x:v>除标明参数外，其余BVD、源阻抗和匹配网络参数保持基准值</x:v>
      </x:c>
    </x:row>
    <x:row r="164">
      <x:c r="A164" s="68" t="str">
        <x:v>CASE_610_CP_M2</x:v>
      </x:c>
      <x:c r="B164" s="68" t="str">
        <x:v>Cp</x:v>
      </x:c>
      <x:c r="C164" s="68" t="str">
        <x:v>-2%</x:v>
      </x:c>
      <x:c r="D164" s="68" t="str">
        <x:v>Lm_H</x:v>
      </x:c>
      <x:c r="E164" s="92" t="str">
        <x:v>0.1</x:v>
      </x:c>
      <x:c r="F164" s="98" t="str">
        <x:v>0</x:v>
      </x:c>
      <x:c r="G164" s="98" t="str">
        <x:v>0</x:v>
      </x:c>
      <x:c r="H164" s="68" t="str">
        <x:v>扫描变量</x:v>
      </x:c>
      <x:c r="I164" s="68" t="str">
        <x:v>除标明参数外，其余BVD、源阻抗和匹配网络参数保持基准值</x:v>
      </x:c>
    </x:row>
    <x:row r="165">
      <x:c r="A165" s="68" t="str">
        <x:v>CASE_610_CP_M2</x:v>
      </x:c>
      <x:c r="B165" s="68" t="str">
        <x:v>Cp</x:v>
      </x:c>
      <x:c r="C165" s="68" t="str">
        <x:v>-2%</x:v>
      </x:c>
      <x:c r="D165" s="68" t="str">
        <x:v>Cm_F</x:v>
      </x:c>
      <x:c r="E165" s="92" t="str">
        <x:v>3.1272e-13</x:v>
      </x:c>
      <x:c r="F165" s="98" t="str">
        <x:v>0</x:v>
      </x:c>
      <x:c r="G165" s="98" t="str">
        <x:v>0</x:v>
      </x:c>
      <x:c r="H165" s="68" t="str">
        <x:v>扫描变量</x:v>
      </x:c>
      <x:c r="I165" s="68" t="str">
        <x:v>除标明参数外，其余BVD、源阻抗和匹配网络参数保持基准值</x:v>
      </x:c>
    </x:row>
    <x:row r="166">
      <x:c r="A166" s="68" t="str">
        <x:v>CASE_610_CP_M2</x:v>
      </x:c>
      <x:c r="B166" s="68" t="str">
        <x:v>Cp</x:v>
      </x:c>
      <x:c r="C166" s="68" t="str">
        <x:v>-2%</x:v>
      </x:c>
      <x:c r="D166" s="68" t="str">
        <x:v>fs_derived_Hz</x:v>
      </x:c>
      <x:c r="E166" s="92" t="str">
        <x:v>899999.5720449019</x:v>
      </x:c>
      <x:c r="F166" s="98" t="str">
        <x:v>0</x:v>
      </x:c>
      <x:c r="G166" s="98" t="str">
        <x:v>0</x:v>
      </x:c>
      <x:c r="H166" s="68" t="str">
        <x:v>扫描变量</x:v>
      </x:c>
      <x:c r="I166" s="68" t="str">
        <x:v>除标明参数外，其余BVD、源阻抗和匹配网络参数保持基准值</x:v>
      </x:c>
    </x:row>
    <x:row r="167">
      <x:c r="A167" s="68" t="str">
        <x:v>CASE_610_CP_M2</x:v>
      </x:c>
      <x:c r="B167" s="68" t="str">
        <x:v>Cp</x:v>
      </x:c>
      <x:c r="C167" s="68" t="str">
        <x:v>-2%</x:v>
      </x:c>
      <x:c r="D167" s="68" t="str">
        <x:v>Rs_ohm</x:v>
      </x:c>
      <x:c r="E167" s="92" t="str">
        <x:v>50.0</x:v>
      </x:c>
      <x:c r="F167" s="98" t="str">
        <x:v>0</x:v>
      </x:c>
      <x:c r="G167" s="98" t="str">
        <x:v>0</x:v>
      </x:c>
      <x:c r="H167" s="68" t="str">
        <x:v>扫描变量</x:v>
      </x:c>
      <x:c r="I167" s="68" t="str">
        <x:v>除标明参数外，其余BVD、源阻抗和匹配网络参数保持基准值</x:v>
      </x:c>
    </x:row>
    <x:row r="168">
      <x:c r="A168" s="68" t="str">
        <x:v>CASE_610_CP_M2</x:v>
      </x:c>
      <x:c r="B168" s="68" t="str">
        <x:v>Cp</x:v>
      </x:c>
      <x:c r="C168" s="68" t="str">
        <x:v>-2%</x:v>
      </x:c>
      <x:c r="D168" s="68" t="str">
        <x:v>Ls_H</x:v>
      </x:c>
      <x:c r="E168" s="92" t="str">
        <x:v>0.00012473</x:v>
      </x:c>
      <x:c r="F168" s="98" t="str">
        <x:v>0</x:v>
      </x:c>
      <x:c r="G168" s="98" t="str">
        <x:v>0</x:v>
      </x:c>
      <x:c r="H168" s="68" t="str">
        <x:v>扫描变量</x:v>
      </x:c>
      <x:c r="I168" s="68" t="str">
        <x:v>除标明参数外，其余BVD、源阻抗和匹配网络参数保持基准值</x:v>
      </x:c>
    </x:row>
    <x:row r="169">
      <x:c r="A169" s="68" t="str">
        <x:v>CASE_610_CP_M2</x:v>
      </x:c>
      <x:c r="B169" s="68" t="str">
        <x:v>Cp</x:v>
      </x:c>
      <x:c r="C169" s="68" t="str">
        <x:v>-2%</x:v>
      </x:c>
      <x:c r="D169" s="68" t="str">
        <x:v>Cp_F</x:v>
      </x:c>
      <x:c r="E169" s="92" t="str">
        <x:v>2.430008e-10</x:v>
      </x:c>
      <x:c r="F169" s="98" t="str">
        <x:v>1</x:v>
      </x:c>
      <x:c r="G169" s="98" t="str">
        <x:v>0</x:v>
      </x:c>
      <x:c r="H169" s="68" t="str">
        <x:v>扫描变量</x:v>
      </x:c>
      <x:c r="I169" s="68" t="str">
        <x:v>除标明参数外，其余BVD、源阻抗和匹配网络参数保持基准值</x:v>
      </x:c>
    </x:row>
    <x:row r="170">
      <x:c r="A170" s="68" t="str">
        <x:v>CASE_610_CP_M2</x:v>
      </x:c>
      <x:c r="B170" s="68" t="str">
        <x:v>Cp</x:v>
      </x:c>
      <x:c r="C170" s="68" t="str">
        <x:v>-2%</x:v>
      </x:c>
      <x:c r="D170" s="68" t="str">
        <x:v>inductor_Q</x:v>
      </x:c>
      <x:c r="E170" s="92" t="str">
        <x:v>100.0</x:v>
      </x:c>
      <x:c r="F170" s="98" t="str">
        <x:v>0</x:v>
      </x:c>
      <x:c r="G170" s="98" t="str">
        <x:v>0</x:v>
      </x:c>
      <x:c r="H170" s="68" t="str">
        <x:v>扫描变量</x:v>
      </x:c>
      <x:c r="I170" s="68" t="str">
        <x:v>除标明参数外，其余BVD、源阻抗和匹配网络参数保持基准值</x:v>
      </x:c>
    </x:row>
    <x:row r="171">
      <x:c r="A171" s="68" t="str">
        <x:v>CASE_610_CP_M2</x:v>
      </x:c>
      <x:c r="B171" s="68" t="str">
        <x:v>Cp</x:v>
      </x:c>
      <x:c r="C171" s="68" t="str">
        <x:v>-2%</x:v>
      </x:c>
      <x:c r="D171" s="68" t="str">
        <x:v>inductor_ESR_at_0p9MHz_ohm</x:v>
      </x:c>
      <x:c r="E171" s="92" t="str">
        <x:v>7.053315330280588</x:v>
      </x:c>
      <x:c r="F171" s="98" t="str">
        <x:v>0</x:v>
      </x:c>
      <x:c r="G171" s="98" t="str">
        <x:v>0</x:v>
      </x:c>
      <x:c r="H171" s="68" t="str">
        <x:v>扫描变量</x:v>
      </x:c>
      <x:c r="I171" s="68" t="str">
        <x:v>除标明参数外，其余BVD、源阻抗和匹配网络参数保持基准值</x:v>
      </x:c>
    </x:row>
    <x:row r="172">
      <x:c r="A172" s="68" t="str">
        <x:v>CASE_620_CP_M5</x:v>
      </x:c>
      <x:c r="B172" s="68" t="str">
        <x:v>Cp</x:v>
      </x:c>
      <x:c r="C172" s="68" t="str">
        <x:v>-5%</x:v>
      </x:c>
      <x:c r="D172" s="68" t="str">
        <x:v>C0_F</x:v>
      </x:c>
      <x:c r="E172" s="92" t="str">
        <x:v>1.5e-12</x:v>
      </x:c>
      <x:c r="F172" s="98" t="str">
        <x:v>0</x:v>
      </x:c>
      <x:c r="G172" s="98" t="str">
        <x:v>0</x:v>
      </x:c>
      <x:c r="H172" s="68" t="str">
        <x:v>扫描变量</x:v>
      </x:c>
      <x:c r="I172" s="68" t="str">
        <x:v>除标明参数外，其余BVD、源阻抗和匹配网络参数保持基准值</x:v>
      </x:c>
    </x:row>
    <x:row r="173">
      <x:c r="A173" s="68" t="str">
        <x:v>CASE_620_CP_M5</x:v>
      </x:c>
      <x:c r="B173" s="68" t="str">
        <x:v>Cp</x:v>
      </x:c>
      <x:c r="C173" s="68" t="str">
        <x:v>-5%</x:v>
      </x:c>
      <x:c r="D173" s="68" t="str">
        <x:v>Rm_ohm</x:v>
      </x:c>
      <x:c r="E173" s="92" t="str">
        <x:v>10000.0</x:v>
      </x:c>
      <x:c r="F173" s="98" t="str">
        <x:v>0</x:v>
      </x:c>
      <x:c r="G173" s="98" t="str">
        <x:v>0</x:v>
      </x:c>
      <x:c r="H173" s="68" t="str">
        <x:v>扫描变量</x:v>
      </x:c>
      <x:c r="I173" s="68" t="str">
        <x:v>除标明参数外，其余BVD、源阻抗和匹配网络参数保持基准值</x:v>
      </x:c>
    </x:row>
    <x:row r="174">
      <x:c r="A174" s="68" t="str">
        <x:v>CASE_620_CP_M5</x:v>
      </x:c>
      <x:c r="B174" s="68" t="str">
        <x:v>Cp</x:v>
      </x:c>
      <x:c r="C174" s="68" t="str">
        <x:v>-5%</x:v>
      </x:c>
      <x:c r="D174" s="68" t="str">
        <x:v>Lm_H</x:v>
      </x:c>
      <x:c r="E174" s="92" t="str">
        <x:v>0.1</x:v>
      </x:c>
      <x:c r="F174" s="98" t="str">
        <x:v>0</x:v>
      </x:c>
      <x:c r="G174" s="98" t="str">
        <x:v>0</x:v>
      </x:c>
      <x:c r="H174" s="68" t="str">
        <x:v>扫描变量</x:v>
      </x:c>
      <x:c r="I174" s="68" t="str">
        <x:v>除标明参数外，其余BVD、源阻抗和匹配网络参数保持基准值</x:v>
      </x:c>
    </x:row>
    <x:row r="175">
      <x:c r="A175" s="68" t="str">
        <x:v>CASE_620_CP_M5</x:v>
      </x:c>
      <x:c r="B175" s="68" t="str">
        <x:v>Cp</x:v>
      </x:c>
      <x:c r="C175" s="68" t="str">
        <x:v>-5%</x:v>
      </x:c>
      <x:c r="D175" s="68" t="str">
        <x:v>Cm_F</x:v>
      </x:c>
      <x:c r="E175" s="92" t="str">
        <x:v>3.1272e-13</x:v>
      </x:c>
      <x:c r="F175" s="98" t="str">
        <x:v>0</x:v>
      </x:c>
      <x:c r="G175" s="98" t="str">
        <x:v>0</x:v>
      </x:c>
      <x:c r="H175" s="68" t="str">
        <x:v>扫描变量</x:v>
      </x:c>
      <x:c r="I175" s="68" t="str">
        <x:v>除标明参数外，其余BVD、源阻抗和匹配网络参数保持基准值</x:v>
      </x:c>
    </x:row>
    <x:row r="176">
      <x:c r="A176" s="68" t="str">
        <x:v>CASE_620_CP_M5</x:v>
      </x:c>
      <x:c r="B176" s="68" t="str">
        <x:v>Cp</x:v>
      </x:c>
      <x:c r="C176" s="68" t="str">
        <x:v>-5%</x:v>
      </x:c>
      <x:c r="D176" s="68" t="str">
        <x:v>fs_derived_Hz</x:v>
      </x:c>
      <x:c r="E176" s="92" t="str">
        <x:v>899999.5720449019</x:v>
      </x:c>
      <x:c r="F176" s="98" t="str">
        <x:v>0</x:v>
      </x:c>
      <x:c r="G176" s="98" t="str">
        <x:v>0</x:v>
      </x:c>
      <x:c r="H176" s="68" t="str">
        <x:v>扫描变量</x:v>
      </x:c>
      <x:c r="I176" s="68" t="str">
        <x:v>除标明参数外，其余BVD、源阻抗和匹配网络参数保持基准值</x:v>
      </x:c>
    </x:row>
    <x:row r="177">
      <x:c r="A177" s="68" t="str">
        <x:v>CASE_620_CP_M5</x:v>
      </x:c>
      <x:c r="B177" s="68" t="str">
        <x:v>Cp</x:v>
      </x:c>
      <x:c r="C177" s="68" t="str">
        <x:v>-5%</x:v>
      </x:c>
      <x:c r="D177" s="68" t="str">
        <x:v>Rs_ohm</x:v>
      </x:c>
      <x:c r="E177" s="92" t="str">
        <x:v>50.0</x:v>
      </x:c>
      <x:c r="F177" s="98" t="str">
        <x:v>0</x:v>
      </x:c>
      <x:c r="G177" s="98" t="str">
        <x:v>0</x:v>
      </x:c>
      <x:c r="H177" s="68" t="str">
        <x:v>扫描变量</x:v>
      </x:c>
      <x:c r="I177" s="68" t="str">
        <x:v>除标明参数外，其余BVD、源阻抗和匹配网络参数保持基准值</x:v>
      </x:c>
    </x:row>
    <x:row r="178">
      <x:c r="A178" s="68" t="str">
        <x:v>CASE_620_CP_M5</x:v>
      </x:c>
      <x:c r="B178" s="68" t="str">
        <x:v>Cp</x:v>
      </x:c>
      <x:c r="C178" s="68" t="str">
        <x:v>-5%</x:v>
      </x:c>
      <x:c r="D178" s="68" t="str">
        <x:v>Ls_H</x:v>
      </x:c>
      <x:c r="E178" s="92" t="str">
        <x:v>0.00012473</x:v>
      </x:c>
      <x:c r="F178" s="98" t="str">
        <x:v>0</x:v>
      </x:c>
      <x:c r="G178" s="98" t="str">
        <x:v>0</x:v>
      </x:c>
      <x:c r="H178" s="68" t="str">
        <x:v>扫描变量</x:v>
      </x:c>
      <x:c r="I178" s="68" t="str">
        <x:v>除标明参数外，其余BVD、源阻抗和匹配网络参数保持基准值</x:v>
      </x:c>
    </x:row>
    <x:row r="179">
      <x:c r="A179" s="68" t="str">
        <x:v>CASE_620_CP_M5</x:v>
      </x:c>
      <x:c r="B179" s="68" t="str">
        <x:v>Cp</x:v>
      </x:c>
      <x:c r="C179" s="68" t="str">
        <x:v>-5%</x:v>
      </x:c>
      <x:c r="D179" s="68" t="str">
        <x:v>Cp_F</x:v>
      </x:c>
      <x:c r="E179" s="92" t="str">
        <x:v>2.35562e-10</x:v>
      </x:c>
      <x:c r="F179" s="98" t="str">
        <x:v>1</x:v>
      </x:c>
      <x:c r="G179" s="98" t="str">
        <x:v>0</x:v>
      </x:c>
      <x:c r="H179" s="68" t="str">
        <x:v>扫描变量</x:v>
      </x:c>
      <x:c r="I179" s="68" t="str">
        <x:v>除标明参数外，其余BVD、源阻抗和匹配网络参数保持基准值</x:v>
      </x:c>
    </x:row>
    <x:row r="180">
      <x:c r="A180" s="68" t="str">
        <x:v>CASE_620_CP_M5</x:v>
      </x:c>
      <x:c r="B180" s="68" t="str">
        <x:v>Cp</x:v>
      </x:c>
      <x:c r="C180" s="68" t="str">
        <x:v>-5%</x:v>
      </x:c>
      <x:c r="D180" s="68" t="str">
        <x:v>inductor_Q</x:v>
      </x:c>
      <x:c r="E180" s="92" t="str">
        <x:v>100.0</x:v>
      </x:c>
      <x:c r="F180" s="98" t="str">
        <x:v>0</x:v>
      </x:c>
      <x:c r="G180" s="98" t="str">
        <x:v>0</x:v>
      </x:c>
      <x:c r="H180" s="68" t="str">
        <x:v>扫描变量</x:v>
      </x:c>
      <x:c r="I180" s="68" t="str">
        <x:v>除标明参数外，其余BVD、源阻抗和匹配网络参数保持基准值</x:v>
      </x:c>
    </x:row>
    <x:row r="181">
      <x:c r="A181" s="68" t="str">
        <x:v>CASE_620_CP_M5</x:v>
      </x:c>
      <x:c r="B181" s="68" t="str">
        <x:v>Cp</x:v>
      </x:c>
      <x:c r="C181" s="68" t="str">
        <x:v>-5%</x:v>
      </x:c>
      <x:c r="D181" s="68" t="str">
        <x:v>inductor_ESR_at_0p9MHz_ohm</x:v>
      </x:c>
      <x:c r="E181" s="92" t="str">
        <x:v>7.053315330280588</x:v>
      </x:c>
      <x:c r="F181" s="98" t="str">
        <x:v>0</x:v>
      </x:c>
      <x:c r="G181" s="98" t="str">
        <x:v>0</x:v>
      </x:c>
      <x:c r="H181" s="68" t="str">
        <x:v>扫描变量</x:v>
      </x:c>
      <x:c r="I181" s="68" t="str">
        <x:v>除标明参数外，其余BVD、源阻抗和匹配网络参数保持基准值</x:v>
      </x:c>
    </x:row>
    <x:row r="182">
      <x:c r="A182" s="68" t="str">
        <x:v>CASE_630_CP_M10</x:v>
      </x:c>
      <x:c r="B182" s="68" t="str">
        <x:v>Cp</x:v>
      </x:c>
      <x:c r="C182" s="68" t="str">
        <x:v>-10%</x:v>
      </x:c>
      <x:c r="D182" s="68" t="str">
        <x:v>C0_F</x:v>
      </x:c>
      <x:c r="E182" s="92" t="str">
        <x:v>1.5e-12</x:v>
      </x:c>
      <x:c r="F182" s="98" t="str">
        <x:v>0</x:v>
      </x:c>
      <x:c r="G182" s="98" t="str">
        <x:v>0</x:v>
      </x:c>
      <x:c r="H182" s="68" t="str">
        <x:v>扫描变量</x:v>
      </x:c>
      <x:c r="I182" s="68" t="str">
        <x:v>除标明参数外，其余BVD、源阻抗和匹配网络参数保持基准值</x:v>
      </x:c>
    </x:row>
    <x:row r="183">
      <x:c r="A183" s="68" t="str">
        <x:v>CASE_630_CP_M10</x:v>
      </x:c>
      <x:c r="B183" s="68" t="str">
        <x:v>Cp</x:v>
      </x:c>
      <x:c r="C183" s="68" t="str">
        <x:v>-10%</x:v>
      </x:c>
      <x:c r="D183" s="68" t="str">
        <x:v>Rm_ohm</x:v>
      </x:c>
      <x:c r="E183" s="92" t="str">
        <x:v>10000.0</x:v>
      </x:c>
      <x:c r="F183" s="98" t="str">
        <x:v>0</x:v>
      </x:c>
      <x:c r="G183" s="98" t="str">
        <x:v>0</x:v>
      </x:c>
      <x:c r="H183" s="68" t="str">
        <x:v>扫描变量</x:v>
      </x:c>
      <x:c r="I183" s="68" t="str">
        <x:v>除标明参数外，其余BVD、源阻抗和匹配网络参数保持基准值</x:v>
      </x:c>
    </x:row>
    <x:row r="184">
      <x:c r="A184" s="68" t="str">
        <x:v>CASE_630_CP_M10</x:v>
      </x:c>
      <x:c r="B184" s="68" t="str">
        <x:v>Cp</x:v>
      </x:c>
      <x:c r="C184" s="68" t="str">
        <x:v>-10%</x:v>
      </x:c>
      <x:c r="D184" s="68" t="str">
        <x:v>Lm_H</x:v>
      </x:c>
      <x:c r="E184" s="92" t="str">
        <x:v>0.1</x:v>
      </x:c>
      <x:c r="F184" s="98" t="str">
        <x:v>0</x:v>
      </x:c>
      <x:c r="G184" s="98" t="str">
        <x:v>0</x:v>
      </x:c>
      <x:c r="H184" s="68" t="str">
        <x:v>扫描变量</x:v>
      </x:c>
      <x:c r="I184" s="68" t="str">
        <x:v>除标明参数外，其余BVD、源阻抗和匹配网络参数保持基准值</x:v>
      </x:c>
    </x:row>
    <x:row r="185">
      <x:c r="A185" s="68" t="str">
        <x:v>CASE_630_CP_M10</x:v>
      </x:c>
      <x:c r="B185" s="68" t="str">
        <x:v>Cp</x:v>
      </x:c>
      <x:c r="C185" s="68" t="str">
        <x:v>-10%</x:v>
      </x:c>
      <x:c r="D185" s="68" t="str">
        <x:v>Cm_F</x:v>
      </x:c>
      <x:c r="E185" s="92" t="str">
        <x:v>3.1272e-13</x:v>
      </x:c>
      <x:c r="F185" s="98" t="str">
        <x:v>0</x:v>
      </x:c>
      <x:c r="G185" s="98" t="str">
        <x:v>0</x:v>
      </x:c>
      <x:c r="H185" s="68" t="str">
        <x:v>扫描变量</x:v>
      </x:c>
      <x:c r="I185" s="68" t="str">
        <x:v>除标明参数外，其余BVD、源阻抗和匹配网络参数保持基准值</x:v>
      </x:c>
    </x:row>
    <x:row r="186">
      <x:c r="A186" s="68" t="str">
        <x:v>CASE_630_CP_M10</x:v>
      </x:c>
      <x:c r="B186" s="68" t="str">
        <x:v>Cp</x:v>
      </x:c>
      <x:c r="C186" s="68" t="str">
        <x:v>-10%</x:v>
      </x:c>
      <x:c r="D186" s="68" t="str">
        <x:v>fs_derived_Hz</x:v>
      </x:c>
      <x:c r="E186" s="92" t="str">
        <x:v>899999.5720449019</x:v>
      </x:c>
      <x:c r="F186" s="98" t="str">
        <x:v>0</x:v>
      </x:c>
      <x:c r="G186" s="98" t="str">
        <x:v>0</x:v>
      </x:c>
      <x:c r="H186" s="68" t="str">
        <x:v>扫描变量</x:v>
      </x:c>
      <x:c r="I186" s="68" t="str">
        <x:v>除标明参数外，其余BVD、源阻抗和匹配网络参数保持基准值</x:v>
      </x:c>
    </x:row>
    <x:row r="187">
      <x:c r="A187" s="68" t="str">
        <x:v>CASE_630_CP_M10</x:v>
      </x:c>
      <x:c r="B187" s="68" t="str">
        <x:v>Cp</x:v>
      </x:c>
      <x:c r="C187" s="68" t="str">
        <x:v>-10%</x:v>
      </x:c>
      <x:c r="D187" s="68" t="str">
        <x:v>Rs_ohm</x:v>
      </x:c>
      <x:c r="E187" s="92" t="str">
        <x:v>50.0</x:v>
      </x:c>
      <x:c r="F187" s="98" t="str">
        <x:v>0</x:v>
      </x:c>
      <x:c r="G187" s="98" t="str">
        <x:v>0</x:v>
      </x:c>
      <x:c r="H187" s="68" t="str">
        <x:v>扫描变量</x:v>
      </x:c>
      <x:c r="I187" s="68" t="str">
        <x:v>除标明参数外，其余BVD、源阻抗和匹配网络参数保持基准值</x:v>
      </x:c>
    </x:row>
    <x:row r="188">
      <x:c r="A188" s="68" t="str">
        <x:v>CASE_630_CP_M10</x:v>
      </x:c>
      <x:c r="B188" s="68" t="str">
        <x:v>Cp</x:v>
      </x:c>
      <x:c r="C188" s="68" t="str">
        <x:v>-10%</x:v>
      </x:c>
      <x:c r="D188" s="68" t="str">
        <x:v>Ls_H</x:v>
      </x:c>
      <x:c r="E188" s="92" t="str">
        <x:v>0.00012473</x:v>
      </x:c>
      <x:c r="F188" s="98" t="str">
        <x:v>0</x:v>
      </x:c>
      <x:c r="G188" s="98" t="str">
        <x:v>0</x:v>
      </x:c>
      <x:c r="H188" s="68" t="str">
        <x:v>扫描变量</x:v>
      </x:c>
      <x:c r="I188" s="68" t="str">
        <x:v>除标明参数外，其余BVD、源阻抗和匹配网络参数保持基准值</x:v>
      </x:c>
    </x:row>
    <x:row r="189">
      <x:c r="A189" s="68" t="str">
        <x:v>CASE_630_CP_M10</x:v>
      </x:c>
      <x:c r="B189" s="68" t="str">
        <x:v>Cp</x:v>
      </x:c>
      <x:c r="C189" s="68" t="str">
        <x:v>-10%</x:v>
      </x:c>
      <x:c r="D189" s="68" t="str">
        <x:v>Cp_F</x:v>
      </x:c>
      <x:c r="E189" s="92" t="str">
        <x:v>2.23164e-10</x:v>
      </x:c>
      <x:c r="F189" s="98" t="str">
        <x:v>1</x:v>
      </x:c>
      <x:c r="G189" s="98" t="str">
        <x:v>0</x:v>
      </x:c>
      <x:c r="H189" s="68" t="str">
        <x:v>扫描变量</x:v>
      </x:c>
      <x:c r="I189" s="68" t="str">
        <x:v>除标明参数外，其余BVD、源阻抗和匹配网络参数保持基准值</x:v>
      </x:c>
    </x:row>
    <x:row r="190">
      <x:c r="A190" s="68" t="str">
        <x:v>CASE_630_CP_M10</x:v>
      </x:c>
      <x:c r="B190" s="68" t="str">
        <x:v>Cp</x:v>
      </x:c>
      <x:c r="C190" s="68" t="str">
        <x:v>-10%</x:v>
      </x:c>
      <x:c r="D190" s="68" t="str">
        <x:v>inductor_Q</x:v>
      </x:c>
      <x:c r="E190" s="92" t="str">
        <x:v>100.0</x:v>
      </x:c>
      <x:c r="F190" s="98" t="str">
        <x:v>0</x:v>
      </x:c>
      <x:c r="G190" s="98" t="str">
        <x:v>0</x:v>
      </x:c>
      <x:c r="H190" s="68" t="str">
        <x:v>扫描变量</x:v>
      </x:c>
      <x:c r="I190" s="68" t="str">
        <x:v>除标明参数外，其余BVD、源阻抗和匹配网络参数保持基准值</x:v>
      </x:c>
    </x:row>
    <x:row r="191">
      <x:c r="A191" s="68" t="str">
        <x:v>CASE_630_CP_M10</x:v>
      </x:c>
      <x:c r="B191" s="68" t="str">
        <x:v>Cp</x:v>
      </x:c>
      <x:c r="C191" s="68" t="str">
        <x:v>-10%</x:v>
      </x:c>
      <x:c r="D191" s="68" t="str">
        <x:v>inductor_ESR_at_0p9MHz_ohm</x:v>
      </x:c>
      <x:c r="E191" s="92" t="str">
        <x:v>7.053315330280588</x:v>
      </x:c>
      <x:c r="F191" s="98" t="str">
        <x:v>0</x:v>
      </x:c>
      <x:c r="G191" s="98" t="str">
        <x:v>0</x:v>
      </x:c>
      <x:c r="H191" s="68" t="str">
        <x:v>扫描变量</x:v>
      </x:c>
      <x:c r="I191" s="68" t="str">
        <x:v>除标明参数外，其余BVD、源阻抗和匹配网络参数保持基准值</x:v>
      </x:c>
    </x:row>
    <x:row r="192">
      <x:c r="A192" s="68" t="str">
        <x:v>CASE_720_Q50</x:v>
      </x:c>
      <x:c r="B192" s="68" t="str">
        <x:v>电感Q</x:v>
      </x:c>
      <x:c r="C192" s="68" t="str">
        <x:v>Q=50</x:v>
      </x:c>
      <x:c r="D192" s="68" t="str">
        <x:v>C0_F</x:v>
      </x:c>
      <x:c r="E192" s="92" t="str">
        <x:v>1.5e-12</x:v>
      </x:c>
      <x:c r="F192" s="98" t="str">
        <x:v>0</x:v>
      </x:c>
      <x:c r="G192" s="98" t="str">
        <x:v>0</x:v>
      </x:c>
      <x:c r="H192" s="68" t="str">
        <x:v>扫描变量</x:v>
      </x:c>
      <x:c r="I192" s="68" t="str">
        <x:v>除标明参数外，其余BVD、源阻抗和匹配网络参数保持基准值</x:v>
      </x:c>
    </x:row>
    <x:row r="193">
      <x:c r="A193" s="68" t="str">
        <x:v>CASE_720_Q50</x:v>
      </x:c>
      <x:c r="B193" s="68" t="str">
        <x:v>电感Q</x:v>
      </x:c>
      <x:c r="C193" s="68" t="str">
        <x:v>Q=50</x:v>
      </x:c>
      <x:c r="D193" s="68" t="str">
        <x:v>Rm_ohm</x:v>
      </x:c>
      <x:c r="E193" s="92" t="str">
        <x:v>10000.0</x:v>
      </x:c>
      <x:c r="F193" s="98" t="str">
        <x:v>0</x:v>
      </x:c>
      <x:c r="G193" s="98" t="str">
        <x:v>0</x:v>
      </x:c>
      <x:c r="H193" s="68" t="str">
        <x:v>扫描变量</x:v>
      </x:c>
      <x:c r="I193" s="68" t="str">
        <x:v>除标明参数外，其余BVD、源阻抗和匹配网络参数保持基准值</x:v>
      </x:c>
    </x:row>
    <x:row r="194">
      <x:c r="A194" s="68" t="str">
        <x:v>CASE_720_Q50</x:v>
      </x:c>
      <x:c r="B194" s="68" t="str">
        <x:v>电感Q</x:v>
      </x:c>
      <x:c r="C194" s="68" t="str">
        <x:v>Q=50</x:v>
      </x:c>
      <x:c r="D194" s="68" t="str">
        <x:v>Lm_H</x:v>
      </x:c>
      <x:c r="E194" s="92" t="str">
        <x:v>0.1</x:v>
      </x:c>
      <x:c r="F194" s="98" t="str">
        <x:v>0</x:v>
      </x:c>
      <x:c r="G194" s="98" t="str">
        <x:v>0</x:v>
      </x:c>
      <x:c r="H194" s="68" t="str">
        <x:v>扫描变量</x:v>
      </x:c>
      <x:c r="I194" s="68" t="str">
        <x:v>除标明参数外，其余BVD、源阻抗和匹配网络参数保持基准值</x:v>
      </x:c>
    </x:row>
    <x:row r="195">
      <x:c r="A195" s="68" t="str">
        <x:v>CASE_720_Q50</x:v>
      </x:c>
      <x:c r="B195" s="68" t="str">
        <x:v>电感Q</x:v>
      </x:c>
      <x:c r="C195" s="68" t="str">
        <x:v>Q=50</x:v>
      </x:c>
      <x:c r="D195" s="68" t="str">
        <x:v>Cm_F</x:v>
      </x:c>
      <x:c r="E195" s="92" t="str">
        <x:v>3.1272e-13</x:v>
      </x:c>
      <x:c r="F195" s="98" t="str">
        <x:v>0</x:v>
      </x:c>
      <x:c r="G195" s="98" t="str">
        <x:v>0</x:v>
      </x:c>
      <x:c r="H195" s="68" t="str">
        <x:v>扫描变量</x:v>
      </x:c>
      <x:c r="I195" s="68" t="str">
        <x:v>除标明参数外，其余BVD、源阻抗和匹配网络参数保持基准值</x:v>
      </x:c>
    </x:row>
    <x:row r="196">
      <x:c r="A196" s="68" t="str">
        <x:v>CASE_720_Q50</x:v>
      </x:c>
      <x:c r="B196" s="68" t="str">
        <x:v>电感Q</x:v>
      </x:c>
      <x:c r="C196" s="68" t="str">
        <x:v>Q=50</x:v>
      </x:c>
      <x:c r="D196" s="68" t="str">
        <x:v>fs_derived_Hz</x:v>
      </x:c>
      <x:c r="E196" s="92" t="str">
        <x:v>899999.5720449019</x:v>
      </x:c>
      <x:c r="F196" s="98" t="str">
        <x:v>0</x:v>
      </x:c>
      <x:c r="G196" s="98" t="str">
        <x:v>0</x:v>
      </x:c>
      <x:c r="H196" s="68" t="str">
        <x:v>扫描变量</x:v>
      </x:c>
      <x:c r="I196" s="68" t="str">
        <x:v>除标明参数外，其余BVD、源阻抗和匹配网络参数保持基准值</x:v>
      </x:c>
    </x:row>
    <x:row r="197">
      <x:c r="A197" s="68" t="str">
        <x:v>CASE_720_Q50</x:v>
      </x:c>
      <x:c r="B197" s="68" t="str">
        <x:v>电感Q</x:v>
      </x:c>
      <x:c r="C197" s="68" t="str">
        <x:v>Q=50</x:v>
      </x:c>
      <x:c r="D197" s="68" t="str">
        <x:v>Rs_ohm</x:v>
      </x:c>
      <x:c r="E197" s="92" t="str">
        <x:v>50.0</x:v>
      </x:c>
      <x:c r="F197" s="98" t="str">
        <x:v>0</x:v>
      </x:c>
      <x:c r="G197" s="98" t="str">
        <x:v>0</x:v>
      </x:c>
      <x:c r="H197" s="68" t="str">
        <x:v>扫描变量</x:v>
      </x:c>
      <x:c r="I197" s="68" t="str">
        <x:v>除标明参数外，其余BVD、源阻抗和匹配网络参数保持基准值</x:v>
      </x:c>
    </x:row>
    <x:row r="198">
      <x:c r="A198" s="68" t="str">
        <x:v>CASE_720_Q50</x:v>
      </x:c>
      <x:c r="B198" s="68" t="str">
        <x:v>电感Q</x:v>
      </x:c>
      <x:c r="C198" s="68" t="str">
        <x:v>Q=50</x:v>
      </x:c>
      <x:c r="D198" s="68" t="str">
        <x:v>Ls_H</x:v>
      </x:c>
      <x:c r="E198" s="92" t="str">
        <x:v>0.00012473</x:v>
      </x:c>
      <x:c r="F198" s="98" t="str">
        <x:v>0</x:v>
      </x:c>
      <x:c r="G198" s="98" t="str">
        <x:v>0</x:v>
      </x:c>
      <x:c r="H198" s="68" t="str">
        <x:v>扫描变量</x:v>
      </x:c>
      <x:c r="I198" s="68" t="str">
        <x:v>除标明参数外，其余BVD、源阻抗和匹配网络参数保持基准值</x:v>
      </x:c>
    </x:row>
    <x:row r="199">
      <x:c r="A199" s="68" t="str">
        <x:v>CASE_720_Q50</x:v>
      </x:c>
      <x:c r="B199" s="68" t="str">
        <x:v>电感Q</x:v>
      </x:c>
      <x:c r="C199" s="68" t="str">
        <x:v>Q=50</x:v>
      </x:c>
      <x:c r="D199" s="68" t="str">
        <x:v>Cp_F</x:v>
      </x:c>
      <x:c r="E199" s="92" t="str">
        <x:v>2.4796e-10</x:v>
      </x:c>
      <x:c r="F199" s="98" t="str">
        <x:v>0</x:v>
      </x:c>
      <x:c r="G199" s="98" t="str">
        <x:v>0</x:v>
      </x:c>
      <x:c r="H199" s="68" t="str">
        <x:v>扫描变量</x:v>
      </x:c>
      <x:c r="I199" s="68" t="str">
        <x:v>除标明参数外，其余BVD、源阻抗和匹配网络参数保持基准值</x:v>
      </x:c>
    </x:row>
    <x:row r="200">
      <x:c r="A200" s="68" t="str">
        <x:v>CASE_720_Q50</x:v>
      </x:c>
      <x:c r="B200" s="68" t="str">
        <x:v>电感Q</x:v>
      </x:c>
      <x:c r="C200" s="68" t="str">
        <x:v>Q=50</x:v>
      </x:c>
      <x:c r="D200" s="68" t="str">
        <x:v>inductor_Q</x:v>
      </x:c>
      <x:c r="E200" s="92" t="str">
        <x:v>50.0</x:v>
      </x:c>
      <x:c r="F200" s="98" t="str">
        <x:v>1</x:v>
      </x:c>
      <x:c r="G200" s="98" t="str">
        <x:v>0</x:v>
      </x:c>
      <x:c r="H200" s="68" t="str">
        <x:v>扫描变量</x:v>
      </x:c>
      <x:c r="I200" s="68" t="str">
        <x:v>除标明参数外，其余BVD、源阻抗和匹配网络参数保持基准值</x:v>
      </x:c>
    </x:row>
    <x:row r="201">
      <x:c r="A201" s="68" t="str">
        <x:v>CASE_720_Q50</x:v>
      </x:c>
      <x:c r="B201" s="68" t="str">
        <x:v>电感Q</x:v>
      </x:c>
      <x:c r="C201" s="68" t="str">
        <x:v>Q=50</x:v>
      </x:c>
      <x:c r="D201" s="68" t="str">
        <x:v>inductor_ESR_at_0p9MHz_ohm</x:v>
      </x:c>
      <x:c r="E201" s="92" t="str">
        <x:v>14.106630660561176</x:v>
      </x:c>
      <x:c r="F201" s="98" t="str">
        <x:v>0</x:v>
      </x:c>
      <x:c r="G201" s="98" t="str">
        <x:v>1</x:v>
      </x:c>
      <x:c r="H201" s="68" t="str">
        <x:v>扫描变量</x:v>
      </x:c>
      <x:c r="I201" s="68" t="str">
        <x:v>除标明参数外，其余BVD、源阻抗和匹配网络参数保持基准值</x:v>
      </x:c>
    </x:row>
    <x:row r="202">
      <x:c r="A202" s="68" t="str">
        <x:v>CASE_730_Q20</x:v>
      </x:c>
      <x:c r="B202" s="68" t="str">
        <x:v>电感Q</x:v>
      </x:c>
      <x:c r="C202" s="68" t="str">
        <x:v>Q=20</x:v>
      </x:c>
      <x:c r="D202" s="68" t="str">
        <x:v>C0_F</x:v>
      </x:c>
      <x:c r="E202" s="92" t="str">
        <x:v>1.5e-12</x:v>
      </x:c>
      <x:c r="F202" s="98" t="str">
        <x:v>0</x:v>
      </x:c>
      <x:c r="G202" s="98" t="str">
        <x:v>0</x:v>
      </x:c>
      <x:c r="H202" s="68" t="str">
        <x:v>扫描变量</x:v>
      </x:c>
      <x:c r="I202" s="68" t="str">
        <x:v>除标明参数外，其余BVD、源阻抗和匹配网络参数保持基准值</x:v>
      </x:c>
    </x:row>
    <x:row r="203">
      <x:c r="A203" s="68" t="str">
        <x:v>CASE_730_Q20</x:v>
      </x:c>
      <x:c r="B203" s="68" t="str">
        <x:v>电感Q</x:v>
      </x:c>
      <x:c r="C203" s="68" t="str">
        <x:v>Q=20</x:v>
      </x:c>
      <x:c r="D203" s="68" t="str">
        <x:v>Rm_ohm</x:v>
      </x:c>
      <x:c r="E203" s="92" t="str">
        <x:v>10000.0</x:v>
      </x:c>
      <x:c r="F203" s="98" t="str">
        <x:v>0</x:v>
      </x:c>
      <x:c r="G203" s="98" t="str">
        <x:v>0</x:v>
      </x:c>
      <x:c r="H203" s="68" t="str">
        <x:v>扫描变量</x:v>
      </x:c>
      <x:c r="I203" s="68" t="str">
        <x:v>除标明参数外，其余BVD、源阻抗和匹配网络参数保持基准值</x:v>
      </x:c>
    </x:row>
    <x:row r="204">
      <x:c r="A204" s="68" t="str">
        <x:v>CASE_730_Q20</x:v>
      </x:c>
      <x:c r="B204" s="68" t="str">
        <x:v>电感Q</x:v>
      </x:c>
      <x:c r="C204" s="68" t="str">
        <x:v>Q=20</x:v>
      </x:c>
      <x:c r="D204" s="68" t="str">
        <x:v>Lm_H</x:v>
      </x:c>
      <x:c r="E204" s="92" t="str">
        <x:v>0.1</x:v>
      </x:c>
      <x:c r="F204" s="98" t="str">
        <x:v>0</x:v>
      </x:c>
      <x:c r="G204" s="98" t="str">
        <x:v>0</x:v>
      </x:c>
      <x:c r="H204" s="68" t="str">
        <x:v>扫描变量</x:v>
      </x:c>
      <x:c r="I204" s="68" t="str">
        <x:v>除标明参数外，其余BVD、源阻抗和匹配网络参数保持基准值</x:v>
      </x:c>
    </x:row>
    <x:row r="205">
      <x:c r="A205" s="68" t="str">
        <x:v>CASE_730_Q20</x:v>
      </x:c>
      <x:c r="B205" s="68" t="str">
        <x:v>电感Q</x:v>
      </x:c>
      <x:c r="C205" s="68" t="str">
        <x:v>Q=20</x:v>
      </x:c>
      <x:c r="D205" s="68" t="str">
        <x:v>Cm_F</x:v>
      </x:c>
      <x:c r="E205" s="92" t="str">
        <x:v>3.1272e-13</x:v>
      </x:c>
      <x:c r="F205" s="98" t="str">
        <x:v>0</x:v>
      </x:c>
      <x:c r="G205" s="98" t="str">
        <x:v>0</x:v>
      </x:c>
      <x:c r="H205" s="68" t="str">
        <x:v>扫描变量</x:v>
      </x:c>
      <x:c r="I205" s="68" t="str">
        <x:v>除标明参数外，其余BVD、源阻抗和匹配网络参数保持基准值</x:v>
      </x:c>
    </x:row>
    <x:row r="206">
      <x:c r="A206" s="68" t="str">
        <x:v>CASE_730_Q20</x:v>
      </x:c>
      <x:c r="B206" s="68" t="str">
        <x:v>电感Q</x:v>
      </x:c>
      <x:c r="C206" s="68" t="str">
        <x:v>Q=20</x:v>
      </x:c>
      <x:c r="D206" s="68" t="str">
        <x:v>fs_derived_Hz</x:v>
      </x:c>
      <x:c r="E206" s="92" t="str">
        <x:v>899999.5720449019</x:v>
      </x:c>
      <x:c r="F206" s="98" t="str">
        <x:v>0</x:v>
      </x:c>
      <x:c r="G206" s="98" t="str">
        <x:v>0</x:v>
      </x:c>
      <x:c r="H206" s="68" t="str">
        <x:v>扫描变量</x:v>
      </x:c>
      <x:c r="I206" s="68" t="str">
        <x:v>除标明参数外，其余BVD、源阻抗和匹配网络参数保持基准值</x:v>
      </x:c>
    </x:row>
    <x:row r="207">
      <x:c r="A207" s="68" t="str">
        <x:v>CASE_730_Q20</x:v>
      </x:c>
      <x:c r="B207" s="68" t="str">
        <x:v>电感Q</x:v>
      </x:c>
      <x:c r="C207" s="68" t="str">
        <x:v>Q=20</x:v>
      </x:c>
      <x:c r="D207" s="68" t="str">
        <x:v>Rs_ohm</x:v>
      </x:c>
      <x:c r="E207" s="92" t="str">
        <x:v>50.0</x:v>
      </x:c>
      <x:c r="F207" s="98" t="str">
        <x:v>0</x:v>
      </x:c>
      <x:c r="G207" s="98" t="str">
        <x:v>0</x:v>
      </x:c>
      <x:c r="H207" s="68" t="str">
        <x:v>扫描变量</x:v>
      </x:c>
      <x:c r="I207" s="68" t="str">
        <x:v>除标明参数外，其余BVD、源阻抗和匹配网络参数保持基准值</x:v>
      </x:c>
    </x:row>
    <x:row r="208">
      <x:c r="A208" s="68" t="str">
        <x:v>CASE_730_Q20</x:v>
      </x:c>
      <x:c r="B208" s="68" t="str">
        <x:v>电感Q</x:v>
      </x:c>
      <x:c r="C208" s="68" t="str">
        <x:v>Q=20</x:v>
      </x:c>
      <x:c r="D208" s="68" t="str">
        <x:v>Ls_H</x:v>
      </x:c>
      <x:c r="E208" s="92" t="str">
        <x:v>0.00012473</x:v>
      </x:c>
      <x:c r="F208" s="98" t="str">
        <x:v>0</x:v>
      </x:c>
      <x:c r="G208" s="98" t="str">
        <x:v>0</x:v>
      </x:c>
      <x:c r="H208" s="68" t="str">
        <x:v>扫描变量</x:v>
      </x:c>
      <x:c r="I208" s="68" t="str">
        <x:v>除标明参数外，其余BVD、源阻抗和匹配网络参数保持基准值</x:v>
      </x:c>
    </x:row>
    <x:row r="209">
      <x:c r="A209" s="68" t="str">
        <x:v>CASE_730_Q20</x:v>
      </x:c>
      <x:c r="B209" s="68" t="str">
        <x:v>电感Q</x:v>
      </x:c>
      <x:c r="C209" s="68" t="str">
        <x:v>Q=20</x:v>
      </x:c>
      <x:c r="D209" s="68" t="str">
        <x:v>Cp_F</x:v>
      </x:c>
      <x:c r="E209" s="92" t="str">
        <x:v>2.4796e-10</x:v>
      </x:c>
      <x:c r="F209" s="98" t="str">
        <x:v>0</x:v>
      </x:c>
      <x:c r="G209" s="98" t="str">
        <x:v>0</x:v>
      </x:c>
      <x:c r="H209" s="68" t="str">
        <x:v>扫描变量</x:v>
      </x:c>
      <x:c r="I209" s="68" t="str">
        <x:v>除标明参数外，其余BVD、源阻抗和匹配网络参数保持基准值</x:v>
      </x:c>
    </x:row>
    <x:row r="210">
      <x:c r="A210" s="68" t="str">
        <x:v>CASE_730_Q20</x:v>
      </x:c>
      <x:c r="B210" s="68" t="str">
        <x:v>电感Q</x:v>
      </x:c>
      <x:c r="C210" s="68" t="str">
        <x:v>Q=20</x:v>
      </x:c>
      <x:c r="D210" s="68" t="str">
        <x:v>inductor_Q</x:v>
      </x:c>
      <x:c r="E210" s="92" t="str">
        <x:v>20.0</x:v>
      </x:c>
      <x:c r="F210" s="98" t="str">
        <x:v>1</x:v>
      </x:c>
      <x:c r="G210" s="98" t="str">
        <x:v>0</x:v>
      </x:c>
      <x:c r="H210" s="68" t="str">
        <x:v>扫描变量</x:v>
      </x:c>
      <x:c r="I210" s="68" t="str">
        <x:v>除标明参数外，其余BVD、源阻抗和匹配网络参数保持基准值</x:v>
      </x:c>
    </x:row>
    <x:row r="211">
      <x:c r="A211" s="69" t="str">
        <x:v>CASE_730_Q20</x:v>
      </x:c>
      <x:c r="B211" s="69" t="str">
        <x:v>电感Q</x:v>
      </x:c>
      <x:c r="C211" s="69" t="str">
        <x:v>Q=20</x:v>
      </x:c>
      <x:c r="D211" s="69" t="str">
        <x:v>inductor_ESR_at_0p9MHz_ohm</x:v>
      </x:c>
      <x:c r="E211" s="93" t="str">
        <x:v>35.26657665140294</x:v>
      </x:c>
      <x:c r="F211" s="99" t="str">
        <x:v>0</x:v>
      </x:c>
      <x:c r="G211" s="99" t="str">
        <x:v>1</x:v>
      </x:c>
      <x:c r="H211" s="69" t="str">
        <x:v>扫描变量</x:v>
      </x:c>
      <x:c r="I211" s="69" t="str">
        <x:v>除标明参数外，其余BVD、源阻抗和匹配网络参数保持基准值</x:v>
      </x:c>
    </x:row>
    <x:row r="212">
      <x:c r="E212" s="94"/>
      <x:c r="F212" s="100"/>
      <x:c r="G212" s="100"/>
    </x:row>
    <x:row r="213">
      <x:c r="E213" s="94"/>
      <x:c r="F213" s="100"/>
      <x:c r="G213" s="100"/>
    </x:row>
    <x:row r="214">
      <x:c r="E214" s="94"/>
      <x:c r="F214" s="100"/>
      <x:c r="G214" s="100"/>
    </x:row>
    <x:row r="215">
      <x:c r="E215" s="94"/>
      <x:c r="F215" s="100"/>
      <x:c r="G215" s="100"/>
    </x:row>
    <x:row r="216">
      <x:c r="E216" s="94"/>
      <x:c r="F216" s="100"/>
      <x:c r="G216" s="100"/>
    </x:row>
    <x:row r="217">
      <x:c r="E217" s="94"/>
      <x:c r="F217" s="100"/>
      <x:c r="G217" s="100"/>
    </x:row>
    <x:row r="218">
      <x:c r="E218" s="94"/>
      <x:c r="F218" s="100"/>
      <x:c r="G218" s="100"/>
    </x:row>
    <x:row r="219">
      <x:c r="E219" s="94"/>
      <x:c r="F219" s="100"/>
      <x:c r="G219" s="100"/>
    </x:row>
    <x:row r="220">
      <x:c r="E220" s="94"/>
      <x:c r="F220" s="100"/>
      <x:c r="G220" s="100"/>
    </x:row>
    <x:row r="221">
      <x:c r="E221" s="94"/>
      <x:c r="F221" s="100"/>
      <x:c r="G221" s="100"/>
    </x:row>
    <x:row r="222">
      <x:c r="E222" s="94"/>
      <x:c r="F222" s="100"/>
      <x:c r="G222" s="100"/>
    </x:row>
    <x:row r="223">
      <x:c r="E223" s="94"/>
      <x:c r="F223" s="100"/>
      <x:c r="G223" s="100"/>
    </x:row>
    <x:row r="224">
      <x:c r="E224" s="94"/>
      <x:c r="F224" s="100"/>
      <x:c r="G224" s="100"/>
    </x:row>
    <x:row r="225">
      <x:c r="E225" s="94"/>
      <x:c r="F225" s="100"/>
      <x:c r="G225" s="100"/>
    </x:row>
    <x:row r="226">
      <x:c r="E226" s="94"/>
      <x:c r="F226" s="100"/>
      <x:c r="G226" s="100"/>
    </x:row>
    <x:row r="227">
      <x:c r="E227" s="94"/>
      <x:c r="F227" s="100"/>
      <x:c r="G227" s="100"/>
    </x:row>
    <x:row r="228">
      <x:c r="E228" s="94"/>
      <x:c r="F228" s="100"/>
      <x:c r="G228" s="100"/>
    </x:row>
    <x:row r="229">
      <x:c r="E229" s="94"/>
      <x:c r="F229" s="100"/>
      <x:c r="G229" s="100"/>
    </x:row>
    <x:row r="230">
      <x:c r="E230" s="94"/>
      <x:c r="F230" s="100"/>
      <x:c r="G230" s="100"/>
    </x:row>
    <x:row r="231">
      <x:c r="E231" s="94"/>
      <x:c r="F231" s="100"/>
      <x:c r="G231" s="100"/>
    </x:row>
    <x:row r="232">
      <x:c r="E232" s="94"/>
      <x:c r="F232" s="100"/>
      <x:c r="G232" s="100"/>
    </x:row>
    <x:row r="233">
      <x:c r="E233" s="94"/>
      <x:c r="F233" s="100"/>
      <x:c r="G233" s="100"/>
    </x:row>
    <x:row r="234">
      <x:c r="E234" s="94"/>
      <x:c r="F234" s="100"/>
      <x:c r="G234" s="100"/>
    </x:row>
    <x:row r="235">
      <x:c r="E235" s="94"/>
      <x:c r="F235" s="100"/>
      <x:c r="G235" s="100"/>
    </x:row>
    <x:row r="236">
      <x:c r="E236" s="94"/>
      <x:c r="F236" s="100"/>
      <x:c r="G236" s="100"/>
    </x:row>
    <x:row r="237">
      <x:c r="E237" s="94"/>
      <x:c r="F237" s="100"/>
      <x:c r="G237" s="100"/>
    </x:row>
    <x:row r="238">
      <x:c r="E238" s="94"/>
      <x:c r="F238" s="100"/>
      <x:c r="G238" s="100"/>
    </x:row>
    <x:row r="239">
      <x:c r="E239" s="94"/>
      <x:c r="F239" s="100"/>
      <x:c r="G239" s="100"/>
    </x:row>
    <x:row r="240">
      <x:c r="E240" s="94"/>
      <x:c r="F240" s="100"/>
      <x:c r="G240" s="100"/>
    </x:row>
    <x:row r="241">
      <x:c r="E241" s="94"/>
      <x:c r="F241" s="100"/>
      <x:c r="G241" s="100"/>
    </x:row>
    <x:row r="242">
      <x:c r="E242" s="94"/>
      <x:c r="F242" s="100"/>
      <x:c r="G242" s="100"/>
    </x:row>
    <x:row r="243">
      <x:c r="E243" s="94"/>
      <x:c r="F243" s="100"/>
      <x:c r="G243" s="100"/>
    </x:row>
    <x:row r="244">
      <x:c r="E244" s="94"/>
      <x:c r="F244" s="100"/>
      <x:c r="G244" s="100"/>
    </x:row>
    <x:row r="245">
      <x:c r="E245" s="94"/>
      <x:c r="F245" s="100"/>
      <x:c r="G245" s="100"/>
    </x:row>
    <x:row r="246">
      <x:c r="E246" s="94"/>
      <x:c r="F246" s="100"/>
      <x:c r="G246" s="100"/>
    </x:row>
    <x:row r="247">
      <x:c r="E247" s="94"/>
      <x:c r="F247" s="100"/>
      <x:c r="G247" s="100"/>
    </x:row>
    <x:row r="248">
      <x:c r="E248" s="94"/>
      <x:c r="F248" s="100"/>
      <x:c r="G248" s="100"/>
    </x:row>
    <x:row r="249">
      <x:c r="E249" s="94"/>
      <x:c r="F249" s="100"/>
      <x:c r="G249" s="100"/>
    </x:row>
    <x:row r="250">
      <x:c r="E250" s="94"/>
      <x:c r="F250" s="100"/>
      <x:c r="G250" s="1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16" hidden="0" customWidth="1"/>
  </x:cols>
  <x:sheetData>
    <x:row r="1" ht="42" customHeight="1">
      <x:c r="A1" s="62" t="str">
        <x:v>﻿case_id</x:v>
      </x:c>
      <x:c r="B1" s="62" t="str">
        <x:v>指标</x:v>
      </x:c>
      <x:c r="C1" s="62" t="str">
        <x:v>最大绝对误差</x:v>
      </x:c>
      <x:c r="D1" s="62" t="str">
        <x:v>相对全量程误差</x:v>
      </x:c>
      <x:c r="E1" s="62" t="str">
        <x:v>审核阈值</x:v>
      </x:c>
      <x:c r="F1" s="62" t="str">
        <x:v>审核结论</x:v>
      </x:c>
    </x:row>
    <x:row r="2">
      <x:c r="A2" s="68" t="str">
        <x:v>CASE_000_BASELINE</x:v>
      </x:c>
      <x:c r="B2" s="68" t="str">
        <x:v>zin_real</x:v>
      </x:c>
      <x:c r="C2" s="92" t="str">
        <x:v>0.0010006469311889532</x:v>
      </x:c>
      <x:c r="D2" s="92" t="str">
        <x:v>1.747966781477063e-05</x:v>
      </x:c>
      <x:c r="E2" s="92" t="str">
        <x:v>5e-05</x:v>
      </x:c>
      <x:c r="F2" s="68" t="str">
        <x:v>通过</x:v>
      </x:c>
    </x:row>
    <x:row r="3">
      <x:c r="A3" s="68" t="str">
        <x:v>CASE_000_BASELINE</x:v>
      </x:c>
      <x:c r="B3" s="68" t="str">
        <x:v>zin_imag</x:v>
      </x:c>
      <x:c r="C3" s="92" t="str">
        <x:v>3.293426706463265e-06</x:v>
      </x:c>
      <x:c r="D3" s="92" t="str">
        <x:v>1.9860632058371238e-08</x:v>
      </x:c>
      <x:c r="E3" s="92" t="str">
        <x:v>5e-05</x:v>
      </x:c>
      <x:c r="F3" s="68" t="str">
        <x:v>通过</x:v>
      </x:c>
    </x:row>
    <x:row r="4">
      <x:c r="A4" s="68" t="str">
        <x:v>CASE_000_BASELINE</x:v>
      </x:c>
      <x:c r="B4" s="68" t="str">
        <x:v>zin_mag</x:v>
      </x:c>
      <x:c r="C4" s="92" t="str">
        <x:v>0.0010006382723837248</x:v>
      </x:c>
      <x:c r="D4" s="92" t="str">
        <x:v>6.028228746752828e-06</x:v>
      </x:c>
      <x:c r="E4" s="92" t="str">
        <x:v>5e-05</x:v>
      </x:c>
      <x:c r="F4" s="68" t="str">
        <x:v>通过</x:v>
      </x:c>
    </x:row>
    <x:row r="5">
      <x:c r="A5" s="68" t="str">
        <x:v>CASE_000_BASELINE</x:v>
      </x:c>
      <x:c r="B5" s="68" t="str">
        <x:v>phase_deg</x:v>
      </x:c>
      <x:c r="C5" s="92" t="str">
        <x:v>0.0021957450018845748</x:v>
      </x:c>
      <x:c r="D5" s="92" t="str">
        <x:v>2.5110434282046016e-05</x:v>
      </x:c>
      <x:c r="E5" s="92" t="str">
        <x:v>5e-05</x:v>
      </x:c>
      <x:c r="F5" s="68" t="str">
        <x:v>通过</x:v>
      </x:c>
    </x:row>
    <x:row r="6">
      <x:c r="A6" s="68" t="str">
        <x:v>CASE_000_BASELINE</x:v>
      </x:c>
      <x:c r="B6" s="68" t="str">
        <x:v>active_power</x:v>
      </x:c>
      <x:c r="C6" s="92" t="str">
        <x:v>2.517565689738599e-06</x:v>
      </x:c>
      <x:c r="D6" s="92" t="str">
        <x:v>2.013882348942985e-05</x:v>
      </x:c>
      <x:c r="E6" s="92" t="str">
        <x:v>5e-05</x:v>
      </x:c>
      <x:c r="F6" s="68" t="str">
        <x:v>通过</x:v>
      </x:c>
    </x:row>
    <x:row r="7">
      <x:c r="A7" s="68" t="str">
        <x:v>CASE_000_BASELINE</x:v>
      </x:c>
      <x:c r="B7" s="68" t="str">
        <x:v>reflection_proxy</x:v>
      </x:c>
      <x:c r="C7" s="92" t="str">
        <x:v>2.364345904704024e-05</x:v>
      </x:c>
      <x:c r="D7" s="92" t="str">
        <x:v>2.423329166128642e-05</x:v>
      </x:c>
      <x:c r="E7" s="92" t="str">
        <x:v>5e-05</x:v>
      </x:c>
      <x:c r="F7" s="68" t="str">
        <x:v>通过</x:v>
      </x:c>
    </x:row>
    <x:row r="8">
      <x:c r="A8" s="68" t="str">
        <x:v>CASE_000_BASELINE</x:v>
      </x:c>
      <x:c r="B8" s="68" t="str">
        <x:v>transducer_vpp</x:v>
      </x:c>
      <x:c r="C8" s="92" t="str">
        <x:v>0.002518063362515477</x:v>
      </x:c>
      <x:c r="D8" s="92" t="str">
        <x:v>1.5188076588389745e-05</x:v>
      </x:c>
      <x:c r="E8" s="92" t="str">
        <x:v>5e-05</x:v>
      </x:c>
      <x:c r="F8" s="68" t="str">
        <x:v>通过</x:v>
      </x:c>
    </x:row>
    <x:row r="9">
      <x:c r="A9" s="68" t="str">
        <x:v>CASE_000_BASELINE</x:v>
      </x:c>
      <x:c r="B9" s="68" t="str">
        <x:v>transducer_current_peak</x:v>
      </x:c>
      <x:c r="C9" s="92" t="str">
        <x:v>6.383764875918241e-08</x:v>
      </x:c>
      <x:c r="D9" s="92" t="str">
        <x:v>1.2516758159199131e-05</x:v>
      </x:c>
      <x:c r="E9" s="92" t="str">
        <x:v>5e-05</x:v>
      </x:c>
      <x:c r="F9" s="68" t="str">
        <x:v>通过</x:v>
      </x:c>
    </x:row>
    <x:row r="10">
      <x:c r="A10" s="68" t="str">
        <x:v>CASE_000_BASELINE</x:v>
      </x:c>
      <x:c r="B10" s="68" t="str">
        <x:v>motional_current_peak</x:v>
      </x:c>
      <x:c r="C10" s="92" t="str">
        <x:v>5.6864753936874957e-08</x:v>
      </x:c>
      <x:c r="D10" s="92" t="str">
        <x:v>1.1372470226550367e-05</x:v>
      </x:c>
      <x:c r="E10" s="92" t="str">
        <x:v>5e-05</x:v>
      </x:c>
      <x:c r="F10" s="68" t="str">
        <x:v>通过</x:v>
      </x:c>
    </x:row>
    <x:row r="11">
      <x:c r="A11" s="68" t="str">
        <x:v>CASE_000_BASELINE</x:v>
      </x:c>
      <x:c r="B11" s="68" t="str">
        <x:v>source_current_peak</x:v>
      </x:c>
      <x:c r="C11" s="92" t="str">
        <x:v>1.7728048796600282e-06</x:v>
      </x:c>
      <x:c r="D11" s="92" t="str">
        <x:v>1.5151849711032465e-05</x:v>
      </x:c>
      <x:c r="E11" s="92" t="str">
        <x:v>5e-05</x:v>
      </x:c>
      <x:c r="F11" s="68" t="str">
        <x:v>通过</x:v>
      </x:c>
    </x:row>
    <x:row r="12">
      <x:c r="A12" s="68" t="str">
        <x:v>CASE_000_BASELINE</x:v>
      </x:c>
      <x:c r="B12" s="68" t="str">
        <x:v>matching_loss</x:v>
      </x:c>
      <x:c r="C12" s="92" t="str">
        <x:v>1.4605560217859082e-06</x:v>
      </x:c>
      <x:c r="D12" s="92" t="str">
        <x:v>3.0252714313802604e-05</x:v>
      </x:c>
      <x:c r="E12" s="92" t="str">
        <x:v>5e-05</x:v>
      </x:c>
      <x:c r="F12" s="68" t="str">
        <x:v>通过</x:v>
      </x:c>
    </x:row>
    <x:row r="13">
      <x:c r="A13" s="68" t="str">
        <x:v>CASE_110_C0_P10</x:v>
      </x:c>
      <x:c r="B13" s="68" t="str">
        <x:v>zin_real</x:v>
      </x:c>
      <x:c r="C13" s="92" t="str">
        <x:v>0.001000646154341922</x:v>
      </x:c>
      <x:c r="D13" s="92" t="str">
        <x:v>1.749807765323387e-05</x:v>
      </x:c>
      <x:c r="E13" s="92" t="str">
        <x:v>5e-05</x:v>
      </x:c>
      <x:c r="F13" s="68" t="str">
        <x:v>通过</x:v>
      </x:c>
    </x:row>
    <x:row r="14">
      <x:c r="A14" s="68" t="str">
        <x:v>CASE_110_C0_P10</x:v>
      </x:c>
      <x:c r="B14" s="68" t="str">
        <x:v>zin_imag</x:v>
      </x:c>
      <x:c r="C14" s="92" t="str">
        <x:v>3.2894720298770608e-06</x:v>
      </x:c>
      <x:c r="D14" s="92" t="str">
        <x:v>1.9893600320009363e-08</x:v>
      </x:c>
      <x:c r="E14" s="92" t="str">
        <x:v>5e-05</x:v>
      </x:c>
      <x:c r="F14" s="68" t="str">
        <x:v>通过</x:v>
      </x:c>
    </x:row>
    <x:row r="15">
      <x:c r="A15" s="68" t="str">
        <x:v>CASE_110_C0_P10</x:v>
      </x:c>
      <x:c r="B15" s="68" t="str">
        <x:v>zin_mag</x:v>
      </x:c>
      <x:c r="C15" s="92" t="str">
        <x:v>0.001000642080910552</x:v>
      </x:c>
      <x:c r="D15" s="92" t="str">
        <x:v>6.045483985329335e-06</x:v>
      </x:c>
      <x:c r="E15" s="92" t="str">
        <x:v>5e-05</x:v>
      </x:c>
      <x:c r="F15" s="68" t="str">
        <x:v>通过</x:v>
      </x:c>
    </x:row>
    <x:row r="16">
      <x:c r="A16" s="68" t="str">
        <x:v>CASE_110_C0_P10</x:v>
      </x:c>
      <x:c r="B16" s="68" t="str">
        <x:v>phase_deg</x:v>
      </x:c>
      <x:c r="C16" s="92" t="str">
        <x:v>0.0021837062000997776</x:v>
      </x:c>
      <x:c r="D16" s="92" t="str">
        <x:v>2.4974806286328226e-05</x:v>
      </x:c>
      <x:c r="E16" s="92" t="str">
        <x:v>5e-05</x:v>
      </x:c>
      <x:c r="F16" s="68" t="str">
        <x:v>通过</x:v>
      </x:c>
    </x:row>
    <x:row r="17">
      <x:c r="A17" s="68" t="str">
        <x:v>CASE_110_C0_P10</x:v>
      </x:c>
      <x:c r="B17" s="68" t="str">
        <x:v>active_power</x:v>
      </x:c>
      <x:c r="C17" s="92" t="str">
        <x:v>2.511112485795164e-06</x:v>
      </x:c>
      <x:c r="D17" s="92" t="str">
        <x:v>2.008768922741343e-05</x:v>
      </x:c>
      <x:c r="E17" s="92" t="str">
        <x:v>5e-05</x:v>
      </x:c>
      <x:c r="F17" s="68" t="str">
        <x:v>通过</x:v>
      </x:c>
    </x:row>
    <x:row r="18">
      <x:c r="A18" s="68" t="str">
        <x:v>CASE_110_C0_P10</x:v>
      </x:c>
      <x:c r="B18" s="68" t="str">
        <x:v>reflection_proxy</x:v>
      </x:c>
      <x:c r="C18" s="92" t="str">
        <x:v>2.356829949112793e-05</x:v>
      </x:c>
      <x:c r="D18" s="92" t="str">
        <x:v>2.4159347649308182e-05</x:v>
      </x:c>
      <x:c r="E18" s="92" t="str">
        <x:v>5e-05</x:v>
      </x:c>
      <x:c r="F18" s="68" t="str">
        <x:v>通过</x:v>
      </x:c>
    </x:row>
    <x:row r="19">
      <x:c r="A19" s="68" t="str">
        <x:v>CASE_110_C0_P10</x:v>
      </x:c>
      <x:c r="B19" s="68" t="str">
        <x:v>transducer_vpp</x:v>
      </x:c>
      <x:c r="C19" s="92" t="str">
        <x:v>0.0025087651013393497</x:v>
      </x:c>
      <x:c r="D19" s="92" t="str">
        <x:v>1.5159508948249537e-05</x:v>
      </x:c>
      <x:c r="E19" s="92" t="str">
        <x:v>5e-05</x:v>
      </x:c>
      <x:c r="F19" s="68" t="str">
        <x:v>通过</x:v>
      </x:c>
    </x:row>
    <x:row r="20">
      <x:c r="A20" s="68" t="str">
        <x:v>CASE_110_C0_P10</x:v>
      </x:c>
      <x:c r="B20" s="68" t="str">
        <x:v>transducer_current_peak</x:v>
      </x:c>
      <x:c r="C20" s="92" t="str">
        <x:v>6.457214900713187e-08</x:v>
      </x:c>
      <x:c r="D20" s="92" t="str">
        <x:v>1.26161077047711e-05</x:v>
      </x:c>
      <x:c r="E20" s="92" t="str">
        <x:v>5e-05</x:v>
      </x:c>
      <x:c r="F20" s="68" t="str">
        <x:v>通过</x:v>
      </x:c>
    </x:row>
    <x:row r="21">
      <x:c r="A21" s="68" t="str">
        <x:v>CASE_110_C0_P10</x:v>
      </x:c>
      <x:c r="B21" s="68" t="str">
        <x:v>motional_current_peak</x:v>
      </x:c>
      <x:c r="C21" s="92" t="str">
        <x:v>5.681082480748362e-08</x:v>
      </x:c>
      <x:c r="D21" s="92" t="str">
        <x:v>1.1361822585507763e-05</x:v>
      </x:c>
      <x:c r="E21" s="92" t="str">
        <x:v>5e-05</x:v>
      </x:c>
      <x:c r="F21" s="68" t="str">
        <x:v>通过</x:v>
      </x:c>
    </x:row>
    <x:row r="22">
      <x:c r="A22" s="68" t="str">
        <x:v>CASE_110_C0_P10</x:v>
      </x:c>
      <x:c r="B22" s="68" t="str">
        <x:v>source_current_peak</x:v>
      </x:c>
      <x:c r="C22" s="92" t="str">
        <x:v>1.7669012741944323e-06</x:v>
      </x:c>
      <x:c r="D22" s="92" t="str">
        <x:v>1.512295863200686e-05</x:v>
      </x:c>
      <x:c r="E22" s="92" t="str">
        <x:v>5e-05</x:v>
      </x:c>
      <x:c r="F22" s="68" t="str">
        <x:v>通过</x:v>
      </x:c>
    </x:row>
    <x:row r="23">
      <x:c r="A23" s="68" t="str">
        <x:v>CASE_110_C0_P10</x:v>
      </x:c>
      <x:c r="B23" s="68" t="str">
        <x:v>matching_loss</x:v>
      </x:c>
      <x:c r="C23" s="92" t="str">
        <x:v>1.453572263956926e-06</x:v>
      </x:c>
      <x:c r="D23" s="92" t="str">
        <x:v>3.019411351706797e-05</x:v>
      </x:c>
      <x:c r="E23" s="92" t="str">
        <x:v>5e-05</x:v>
      </x:c>
      <x:c r="F23" s="68" t="str">
        <x:v>通过</x:v>
      </x:c>
    </x:row>
    <x:row r="24">
      <x:c r="A24" s="68" t="str">
        <x:v>CASE_120_C0_P20</x:v>
      </x:c>
      <x:c r="B24" s="68" t="str">
        <x:v>zin_real</x:v>
      </x:c>
      <x:c r="C24" s="92" t="str">
        <x:v>0.0010006453788982128</x:v>
      </x:c>
      <x:c r="D24" s="92" t="str">
        <x:v>1.7516493150083642e-05</x:v>
      </x:c>
      <x:c r="E24" s="92" t="str">
        <x:v>5e-05</x:v>
      </x:c>
      <x:c r="F24" s="68" t="str">
        <x:v>通过</x:v>
      </x:c>
    </x:row>
    <x:row r="25">
      <x:c r="A25" s="68" t="str">
        <x:v>CASE_120_C0_P20</x:v>
      </x:c>
      <x:c r="B25" s="68" t="str">
        <x:v>zin_imag</x:v>
      </x:c>
      <x:c r="C25" s="92" t="str">
        <x:v>3.28552448358721e-06</x:v>
      </x:c>
      <x:c r="D25" s="92" t="str">
        <x:v>1.9926732878696618e-08</x:v>
      </x:c>
      <x:c r="E25" s="92" t="str">
        <x:v>5e-05</x:v>
      </x:c>
      <x:c r="F25" s="68" t="str">
        <x:v>通过</x:v>
      </x:c>
    </x:row>
    <x:row r="26">
      <x:c r="A26" s="68" t="str">
        <x:v>CASE_120_C0_P20</x:v>
      </x:c>
      <x:c r="B26" s="68" t="str">
        <x:v>zin_mag</x:v>
      </x:c>
      <x:c r="C26" s="92" t="str">
        <x:v>0.0010006427010509356</x:v>
      </x:c>
      <x:c r="D26" s="92" t="str">
        <x:v>6.062797990072426e-06</x:v>
      </x:c>
      <x:c r="E26" s="92" t="str">
        <x:v>5e-05</x:v>
      </x:c>
      <x:c r="F26" s="68" t="str">
        <x:v>通过</x:v>
      </x:c>
    </x:row>
    <x:row r="27">
      <x:c r="A27" s="68" t="str">
        <x:v>CASE_120_C0_P20</x:v>
      </x:c>
      <x:c r="B27" s="68" t="str">
        <x:v>phase_deg</x:v>
      </x:c>
      <x:c r="C27" s="92" t="str">
        <x:v>0.0021716753242131404</x:v>
      </x:c>
      <x:c r="D27" s="92" t="str">
        <x:v>2.483925595521093e-05</x:v>
      </x:c>
      <x:c r="E27" s="92" t="str">
        <x:v>5e-05</x:v>
      </x:c>
      <x:c r="F27" s="68" t="str">
        <x:v>通过</x:v>
      </x:c>
    </x:row>
    <x:row r="28">
      <x:c r="A28" s="68" t="str">
        <x:v>CASE_120_C0_P20</x:v>
      </x:c>
      <x:c r="B28" s="68" t="str">
        <x:v>active_power</x:v>
      </x:c>
      <x:c r="C28" s="92" t="str">
        <x:v>2.504456266524957e-06</x:v>
      </x:c>
      <x:c r="D28" s="92" t="str">
        <x:v>2.003512563192869e-05</x:v>
      </x:c>
      <x:c r="E28" s="92" t="str">
        <x:v>5e-05</x:v>
      </x:c>
      <x:c r="F28" s="68" t="str">
        <x:v>通过</x:v>
      </x:c>
    </x:row>
    <x:row r="29">
      <x:c r="A29" s="68" t="str">
        <x:v>CASE_120_C0_P20</x:v>
      </x:c>
      <x:c r="B29" s="68" t="str">
        <x:v>reflection_proxy</x:v>
      </x:c>
      <x:c r="C29" s="92" t="str">
        <x:v>2.34925787813145e-05</x:v>
      </x:c>
      <x:c r="D29" s="92" t="str">
        <x:v>2.4084828791467146e-05</x:v>
      </x:c>
      <x:c r="E29" s="92" t="str">
        <x:v>5e-05</x:v>
      </x:c>
      <x:c r="F29" s="68" t="str">
        <x:v>通过</x:v>
      </x:c>
    </x:row>
    <x:row r="30">
      <x:c r="A30" s="68" t="str">
        <x:v>CASE_120_C0_P20</x:v>
      </x:c>
      <x:c r="B30" s="68" t="str">
        <x:v>transducer_vpp</x:v>
      </x:c>
      <x:c r="C30" s="92" t="str">
        <x:v>0.002499411415129771</x:v>
      </x:c>
      <x:c r="D30" s="92" t="str">
        <x:v>1.513066275172617e-05</x:v>
      </x:c>
      <x:c r="E30" s="92" t="str">
        <x:v>5e-05</x:v>
      </x:c>
      <x:c r="F30" s="68" t="str">
        <x:v>通过</x:v>
      </x:c>
    </x:row>
    <x:row r="31">
      <x:c r="A31" s="68" t="str">
        <x:v>CASE_120_C0_P20</x:v>
      </x:c>
      <x:c r="B31" s="68" t="str">
        <x:v>transducer_current_peak</x:v>
      </x:c>
      <x:c r="C31" s="92" t="str">
        <x:v>6.531832848558072e-08</x:v>
      </x:c>
      <x:c r="D31" s="92" t="str">
        <x:v>1.2713739068072118e-05</x:v>
      </x:c>
      <x:c r="E31" s="92" t="str">
        <x:v>5e-05</x:v>
      </x:c>
      <x:c r="F31" s="68" t="str">
        <x:v>通过</x:v>
      </x:c>
    </x:row>
    <x:row r="32">
      <x:c r="A32" s="68" t="str">
        <x:v>CASE_120_C0_P20</x:v>
      </x:c>
      <x:c r="B32" s="68" t="str">
        <x:v>motional_current_peak</x:v>
      </x:c>
      <x:c r="C32" s="92" t="str">
        <x:v>5.6753256435539134e-08</x:v>
      </x:c>
      <x:c r="D32" s="92" t="str">
        <x:v>1.1350502715471774e-05</x:v>
      </x:c>
      <x:c r="E32" s="92" t="str">
        <x:v>5e-05</x:v>
      </x:c>
      <x:c r="F32" s="68" t="str">
        <x:v>通过</x:v>
      </x:c>
    </x:row>
    <x:row r="33">
      <x:c r="A33" s="68" t="str">
        <x:v>CASE_120_C0_P20</x:v>
      </x:c>
      <x:c r="B33" s="68" t="str">
        <x:v>source_current_peak</x:v>
      </x:c>
      <x:c r="C33" s="92" t="str">
        <x:v>1.760955746610282e-06</x:v>
      </x:c>
      <x:c r="D33" s="92" t="str">
        <x:v>1.5093769018123782e-05</x:v>
      </x:c>
      <x:c r="E33" s="92" t="str">
        <x:v>5e-05</x:v>
      </x:c>
      <x:c r="F33" s="68" t="str">
        <x:v>通过</x:v>
      </x:c>
    </x:row>
    <x:row r="34">
      <x:c r="A34" s="68" t="str">
        <x:v>CASE_120_C0_P20</x:v>
      </x:c>
      <x:c r="B34" s="68" t="str">
        <x:v>matching_loss</x:v>
      </x:c>
      <x:c r="C34" s="92" t="str">
        <x:v>1.4465494401205703e-06</x:v>
      </x:c>
      <x:c r="D34" s="92" t="str">
        <x:v>3.01348123922425e-05</x:v>
      </x:c>
      <x:c r="E34" s="92" t="str">
        <x:v>5e-05</x:v>
      </x:c>
      <x:c r="F34" s="68" t="str">
        <x:v>通过</x:v>
      </x:c>
    </x:row>
    <x:row r="35">
      <x:c r="A35" s="68" t="str">
        <x:v>CASE_130_C0_P30</x:v>
      </x:c>
      <x:c r="B35" s="68" t="str">
        <x:v>zin_real</x:v>
      </x:c>
      <x:c r="C35" s="92" t="str">
        <x:v>0.0010006446048365092</x:v>
      </x:c>
      <x:c r="D35" s="92" t="str">
        <x:v>1.753491429755118e-05</x:v>
      </x:c>
      <x:c r="E35" s="92" t="str">
        <x:v>5e-05</x:v>
      </x:c>
      <x:c r="F35" s="68" t="str">
        <x:v>通过</x:v>
      </x:c>
    </x:row>
    <x:row r="36">
      <x:c r="A36" s="68" t="str">
        <x:v>CASE_130_C0_P30</x:v>
      </x:c>
      <x:c r="B36" s="68" t="str">
        <x:v>zin_imag</x:v>
      </x:c>
      <x:c r="C36" s="92" t="str">
        <x:v>3.2815839787758705e-06</x:v>
      </x:c>
      <x:c r="D36" s="92" t="str">
        <x:v>1.9960030393363743e-08</x:v>
      </x:c>
      <x:c r="E36" s="92" t="str">
        <x:v>5e-05</x:v>
      </x:c>
      <x:c r="F36" s="68" t="str">
        <x:v>通过</x:v>
      </x:c>
    </x:row>
    <x:row r="37">
      <x:c r="A37" s="68" t="str">
        <x:v>CASE_130_C0_P30</x:v>
      </x:c>
      <x:c r="B37" s="68" t="str">
        <x:v>zin_mag</x:v>
      </x:c>
      <x:c r="C37" s="92" t="str">
        <x:v>0.0010006420208483746</x:v>
      </x:c>
      <x:c r="D37" s="92" t="str">
        <x:v>6.080182597256475e-06</x:v>
      </x:c>
      <x:c r="E37" s="92" t="str">
        <x:v>5e-05</x:v>
      </x:c>
      <x:c r="F37" s="68" t="str">
        <x:v>通过</x:v>
      </x:c>
    </x:row>
    <x:row r="38">
      <x:c r="A38" s="68" t="str">
        <x:v>CASE_130_C0_P30</x:v>
      </x:c>
      <x:c r="B38" s="68" t="str">
        <x:v>phase_deg</x:v>
      </x:c>
      <x:c r="C38" s="92" t="str">
        <x:v>0.002159653200408229</x:v>
      </x:c>
      <x:c r="D38" s="92" t="str">
        <x:v>2.4703792669525823e-05</x:v>
      </x:c>
      <x:c r="E38" s="92" t="str">
        <x:v>5e-05</x:v>
      </x:c>
      <x:c r="F38" s="68" t="str">
        <x:v>通过</x:v>
      </x:c>
    </x:row>
    <x:row r="39">
      <x:c r="A39" s="68" t="str">
        <x:v>CASE_130_C0_P30</x:v>
      </x:c>
      <x:c r="B39" s="68" t="str">
        <x:v>active_power</x:v>
      </x:c>
      <x:c r="C39" s="92" t="str">
        <x:v>2.4975998838272506e-06</x:v>
      </x:c>
      <x:c r="D39" s="92" t="str">
        <x:v>1.9981188020425263e-05</x:v>
      </x:c>
      <x:c r="E39" s="92" t="str">
        <x:v>5e-05</x:v>
      </x:c>
      <x:c r="F39" s="68" t="str">
        <x:v>通过</x:v>
      </x:c>
    </x:row>
    <x:row r="40">
      <x:c r="A40" s="68" t="str">
        <x:v>CASE_130_C0_P30</x:v>
      </x:c>
      <x:c r="B40" s="68" t="str">
        <x:v>reflection_proxy</x:v>
      </x:c>
      <x:c r="C40" s="92" t="str">
        <x:v>2.341630798519123e-05</x:v>
      </x:c>
      <x:c r="D40" s="92" t="str">
        <x:v>2.400974617886112e-05</x:v>
      </x:c>
      <x:c r="E40" s="92" t="str">
        <x:v>5e-05</x:v>
      </x:c>
      <x:c r="F40" s="68" t="str">
        <x:v>通过</x:v>
      </x:c>
    </x:row>
    <x:row r="41">
      <x:c r="A41" s="68" t="str">
        <x:v>CASE_130_C0_P30</x:v>
      </x:c>
      <x:c r="B41" s="68" t="str">
        <x:v>transducer_vpp</x:v>
      </x:c>
      <x:c r="C41" s="92" t="str">
        <x:v>0.002490007541751993</x:v>
      </x:c>
      <x:c r="D41" s="92" t="str">
        <x:v>1.5101564740230615e-05</x:v>
      </x:c>
      <x:c r="E41" s="92" t="str">
        <x:v>5e-05</x:v>
      </x:c>
      <x:c r="F41" s="68" t="str">
        <x:v>通过</x:v>
      </x:c>
    </x:row>
    <x:row r="42">
      <x:c r="A42" s="68" t="str">
        <x:v>CASE_130_C0_P30</x:v>
      </x:c>
      <x:c r="B42" s="68" t="str">
        <x:v>transducer_current_peak</x:v>
      </x:c>
      <x:c r="C42" s="92" t="str">
        <x:v>6.607591288877723e-08</x:v>
      </x:c>
      <x:c r="D42" s="92" t="str">
        <x:v>1.2809605560348155e-05</x:v>
      </x:c>
      <x:c r="E42" s="92" t="str">
        <x:v>5e-05</x:v>
      </x:c>
      <x:c r="F42" s="68" t="str">
        <x:v>通过</x:v>
      </x:c>
    </x:row>
    <x:row r="43">
      <x:c r="A43" s="68" t="str">
        <x:v>CASE_130_C0_P30</x:v>
      </x:c>
      <x:c r="B43" s="68" t="str">
        <x:v>motional_current_peak</x:v>
      </x:c>
      <x:c r="C43" s="92" t="str">
        <x:v>5.669221762004406e-08</x:v>
      </x:c>
      <x:c r="D43" s="92" t="str">
        <x:v>1.1338553881556228e-05</x:v>
      </x:c>
      <x:c r="E43" s="92" t="str">
        <x:v>5e-05</x:v>
      </x:c>
      <x:c r="F43" s="68" t="str">
        <x:v>通过</x:v>
      </x:c>
    </x:row>
    <x:row r="44">
      <x:c r="A44" s="68" t="str">
        <x:v>CASE_130_C0_P30</x:v>
      </x:c>
      <x:c r="B44" s="68" t="str">
        <x:v>source_current_peak</x:v>
      </x:c>
      <x:c r="C44" s="92" t="str">
        <x:v>1.7549716544718041e-06</x:v>
      </x:c>
      <x:c r="D44" s="92" t="str">
        <x:v>1.5064329528600433e-05</x:v>
      </x:c>
      <x:c r="E44" s="92" t="str">
        <x:v>5e-05</x:v>
      </x:c>
      <x:c r="F44" s="68" t="str">
        <x:v>通过</x:v>
      </x:c>
    </x:row>
    <x:row r="45">
      <x:c r="A45" s="68" t="str">
        <x:v>CASE_130_C0_P30</x:v>
      </x:c>
      <x:c r="B45" s="68" t="str">
        <x:v>matching_loss</x:v>
      </x:c>
      <x:c r="C45" s="92" t="str">
        <x:v>1.4394984135801536e-06</x:v>
      </x:c>
      <x:c r="D45" s="92" t="str">
        <x:v>3.007511439153806e-05</x:v>
      </x:c>
      <x:c r="E45" s="92" t="str">
        <x:v>5e-05</x:v>
      </x:c>
      <x:c r="F45" s="68" t="str">
        <x:v>通过</x:v>
      </x:c>
    </x:row>
    <x:row r="46">
      <x:c r="A46" s="68" t="str">
        <x:v>CASE_210_RM_P15</x:v>
      </x:c>
      <x:c r="B46" s="68" t="str">
        <x:v>zin_real</x:v>
      </x:c>
      <x:c r="C46" s="92" t="str">
        <x:v>0.00100049143872738</x:v>
      </x:c>
      <x:c r="D46" s="92" t="str">
        <x:v>1.9733429750639367e-05</x:v>
      </x:c>
      <x:c r="E46" s="92" t="str">
        <x:v>5e-05</x:v>
      </x:c>
      <x:c r="F46" s="68" t="str">
        <x:v>通过</x:v>
      </x:c>
    </x:row>
    <x:row r="47">
      <x:c r="A47" s="68" t="str">
        <x:v>CASE_210_RM_P15</x:v>
      </x:c>
      <x:c r="B47" s="68" t="str">
        <x:v>zin_imag</x:v>
      </x:c>
      <x:c r="C47" s="92" t="str">
        <x:v>2.494145281417559e-06</x:v>
      </x:c>
      <x:c r="D47" s="92" t="str">
        <x:v>1.5039899145534404e-08</x:v>
      </x:c>
      <x:c r="E47" s="92" t="str">
        <x:v>5e-05</x:v>
      </x:c>
      <x:c r="F47" s="68" t="str">
        <x:v>通过</x:v>
      </x:c>
    </x:row>
    <x:row r="48">
      <x:c r="A48" s="68" t="str">
        <x:v>CASE_210_RM_P15</x:v>
      </x:c>
      <x:c r="B48" s="68" t="str">
        <x:v>zin_mag</x:v>
      </x:c>
      <x:c r="C48" s="92" t="str">
        <x:v>0.00100044239909991</x:v>
      </x:c>
      <x:c r="D48" s="92" t="str">
        <x:v>6.026661322436381e-06</x:v>
      </x:c>
      <x:c r="E48" s="92" t="str">
        <x:v>5e-05</x:v>
      </x:c>
      <x:c r="F48" s="68" t="str">
        <x:v>通过</x:v>
      </x:c>
    </x:row>
    <x:row r="49">
      <x:c r="A49" s="68" t="str">
        <x:v>CASE_210_RM_P15</x:v>
      </x:c>
      <x:c r="B49" s="68" t="str">
        <x:v>phase_deg</x:v>
      </x:c>
      <x:c r="C49" s="92" t="str">
        <x:v>0.002100893581626906</x:v>
      </x:c>
      <x:c r="D49" s="92" t="str">
        <x:v>2.4030598114222835e-05</x:v>
      </x:c>
      <x:c r="E49" s="92" t="str">
        <x:v>5e-05</x:v>
      </x:c>
      <x:c r="F49" s="68" t="str">
        <x:v>通过</x:v>
      </x:c>
    </x:row>
    <x:row r="50">
      <x:c r="A50" s="68" t="str">
        <x:v>CASE_210_RM_P15</x:v>
      </x:c>
      <x:c r="B50" s="68" t="str">
        <x:v>active_power</x:v>
      </x:c>
      <x:c r="C50" s="92" t="str">
        <x:v>2.565407460214386e-06</x:v>
      </x:c>
      <x:c r="D50" s="92" t="str">
        <x:v>2.080998269363263e-05</x:v>
      </x:c>
      <x:c r="E50" s="92" t="str">
        <x:v>5e-05</x:v>
      </x:c>
      <x:c r="F50" s="68" t="str">
        <x:v>通过</x:v>
      </x:c>
    </x:row>
    <x:row r="51">
      <x:c r="A51" s="68" t="str">
        <x:v>CASE_210_RM_P15</x:v>
      </x:c>
      <x:c r="B51" s="68" t="str">
        <x:v>reflection_proxy</x:v>
      </x:c>
      <x:c r="C51" s="92" t="str">
        <x:v>2.3045708982261104e-05</x:v>
      </x:c>
      <x:c r="D51" s="92" t="str">
        <x:v>2.362464037275714e-05</x:v>
      </x:c>
      <x:c r="E51" s="92" t="str">
        <x:v>5e-05</x:v>
      </x:c>
      <x:c r="F51" s="68" t="str">
        <x:v>通过</x:v>
      </x:c>
    </x:row>
    <x:row r="52">
      <x:c r="A52" s="68" t="str">
        <x:v>CASE_210_RM_P15</x:v>
      </x:c>
      <x:c r="B52" s="68" t="str">
        <x:v>transducer_vpp</x:v>
      </x:c>
      <x:c r="C52" s="92" t="str">
        <x:v>0.0024499278349310316</x:v>
      </x:c>
      <x:c r="D52" s="92" t="str">
        <x:v>1.4968788767398921e-05</x:v>
      </x:c>
      <x:c r="E52" s="92" t="str">
        <x:v>5e-05</x:v>
      </x:c>
      <x:c r="F52" s="68" t="str">
        <x:v>通过</x:v>
      </x:c>
    </x:row>
    <x:row r="53">
      <x:c r="A53" s="68" t="str">
        <x:v>CASE_210_RM_P15</x:v>
      </x:c>
      <x:c r="B53" s="68" t="str">
        <x:v>transducer_current_peak</x:v>
      </x:c>
      <x:c r="C53" s="92" t="str">
        <x:v>5.982140039925699e-08</x:v>
      </x:c>
      <x:c r="D53" s="92" t="str">
        <x:v>1.2624711331376172e-05</x:v>
      </x:c>
      <x:c r="E53" s="92" t="str">
        <x:v>5e-05</x:v>
      </x:c>
      <x:c r="F53" s="68" t="str">
        <x:v>通过</x:v>
      </x:c>
    </x:row>
    <x:row r="54">
      <x:c r="A54" s="68" t="str">
        <x:v>CASE_210_RM_P15</x:v>
      </x:c>
      <x:c r="B54" s="68" t="str">
        <x:v>motional_current_peak</x:v>
      </x:c>
      <x:c r="C54" s="92" t="str">
        <x:v>5.3277233313421546e-08</x:v>
      </x:c>
      <x:c r="D54" s="92" t="str">
        <x:v>1.1506235777545343e-05</x:v>
      </x:c>
      <x:c r="E54" s="92" t="str">
        <x:v>5e-05</x:v>
      </x:c>
      <x:c r="F54" s="68" t="str">
        <x:v>通过</x:v>
      </x:c>
    </x:row>
    <x:row r="55">
      <x:c r="A55" s="68" t="str">
        <x:v>CASE_210_RM_P15</x:v>
      </x:c>
      <x:c r="B55" s="68" t="str">
        <x:v>source_current_peak</x:v>
      </x:c>
      <x:c r="C55" s="92" t="str">
        <x:v>1.7270691534954086e-06</x:v>
      </x:c>
      <x:c r="D55" s="92" t="str">
        <x:v>1.4931573402609502e-05</x:v>
      </x:c>
      <x:c r="E55" s="92" t="str">
        <x:v>5e-05</x:v>
      </x:c>
      <x:c r="F55" s="68" t="str">
        <x:v>通过</x:v>
      </x:c>
    </x:row>
    <x:row r="56">
      <x:c r="A56" s="68" t="str">
        <x:v>CASE_210_RM_P15</x:v>
      </x:c>
      <x:c r="B56" s="68" t="str">
        <x:v>matching_loss</x:v>
      </x:c>
      <x:c r="C56" s="92" t="str">
        <x:v>1.4063477478051811e-06</x:v>
      </x:c>
      <x:c r="D56" s="92" t="str">
        <x:v>2.9807195065904958e-05</x:v>
      </x:c>
      <x:c r="E56" s="92" t="str">
        <x:v>5e-05</x:v>
      </x:c>
      <x:c r="F56" s="68" t="str">
        <x:v>通过</x:v>
      </x:c>
    </x:row>
    <x:row r="57">
      <x:c r="A57" s="68" t="str">
        <x:v>CASE_220_RM_P30</x:v>
      </x:c>
      <x:c r="B57" s="68" t="str">
        <x:v>zin_real</x:v>
      </x:c>
      <x:c r="C57" s="92" t="str">
        <x:v>0.0010003863584060468</x:v>
      </x:c>
      <x:c r="D57" s="92" t="str">
        <x:v>2.1906864131681016e-05</x:v>
      </x:c>
      <x:c r="E57" s="92" t="str">
        <x:v>5e-05</x:v>
      </x:c>
      <x:c r="F57" s="68" t="str">
        <x:v>通过</x:v>
      </x:c>
    </x:row>
    <x:row r="58">
      <x:c r="A58" s="68" t="str">
        <x:v>CASE_220_RM_P30</x:v>
      </x:c>
      <x:c r="B58" s="68" t="str">
        <x:v>zin_imag</x:v>
      </x:c>
      <x:c r="C58" s="92" t="str">
        <x:v>1.954792282710116e-06</x:v>
      </x:c>
      <x:c r="D58" s="92" t="str">
        <x:v>1.1786882353497157e-08</x:v>
      </x:c>
      <x:c r="E58" s="92" t="str">
        <x:v>5e-05</x:v>
      </x:c>
      <x:c r="F58" s="68" t="str">
        <x:v>通过</x:v>
      </x:c>
    </x:row>
    <x:row r="59">
      <x:c r="A59" s="68" t="str">
        <x:v>CASE_220_RM_P30</x:v>
      </x:c>
      <x:c r="B59" s="68" t="str">
        <x:v>zin_mag</x:v>
      </x:c>
      <x:c r="C59" s="92" t="str">
        <x:v>0.0010002674054518934</x:v>
      </x:c>
      <x:c r="D59" s="92" t="str">
        <x:v>6.025178808217445e-06</x:v>
      </x:c>
      <x:c r="E59" s="92" t="str">
        <x:v>5e-05</x:v>
      </x:c>
      <x:c r="F59" s="68" t="str">
        <x:v>通过</x:v>
      </x:c>
    </x:row>
    <x:row r="60">
      <x:c r="A60" s="68" t="str">
        <x:v>CASE_220_RM_P30</x:v>
      </x:c>
      <x:c r="B60" s="68" t="str">
        <x:v>phase_deg</x:v>
      </x:c>
      <x:c r="C60" s="92" t="str">
        <x:v>0.0020225465878098703</x:v>
      </x:c>
      <x:c r="D60" s="92" t="str">
        <x:v>2.3139111410147512e-05</x:v>
      </x:c>
      <x:c r="E60" s="92" t="str">
        <x:v>5e-05</x:v>
      </x:c>
      <x:c r="F60" s="68" t="str">
        <x:v>通过</x:v>
      </x:c>
    </x:row>
    <x:row r="61">
      <x:c r="A61" s="68" t="str">
        <x:v>CASE_220_RM_P30</x:v>
      </x:c>
      <x:c r="B61" s="68" t="str">
        <x:v>active_power</x:v>
      </x:c>
      <x:c r="C61" s="92" t="str">
        <x:v>2.592482560404008e-06</x:v>
      </x:c>
      <x:c r="D61" s="92" t="str">
        <x:v>2.145744769729231e-05</x:v>
      </x:c>
      <x:c r="E61" s="92" t="str">
        <x:v>5e-05</x:v>
      </x:c>
      <x:c r="F61" s="68" t="str">
        <x:v>通过</x:v>
      </x:c>
    </x:row>
    <x:row r="62">
      <x:c r="A62" s="68" t="str">
        <x:v>CASE_220_RM_P30</x:v>
      </x:c>
      <x:c r="B62" s="68" t="str">
        <x:v>reflection_proxy</x:v>
      </x:c>
      <x:c r="C62" s="92" t="str">
        <x:v>2.2520284486016173e-05</x:v>
      </x:c>
      <x:c r="D62" s="92" t="str">
        <x:v>2.3089905875834708e-05</x:v>
      </x:c>
      <x:c r="E62" s="92" t="str">
        <x:v>5e-05</x:v>
      </x:c>
      <x:c r="F62" s="68" t="str">
        <x:v>通过</x:v>
      </x:c>
    </x:row>
    <x:row r="63">
      <x:c r="A63" s="68" t="str">
        <x:v>CASE_220_RM_P30</x:v>
      </x:c>
      <x:c r="B63" s="68" t="str">
        <x:v>transducer_vpp</x:v>
      </x:c>
      <x:c r="C63" s="92" t="str">
        <x:v>0.0023906894231515707</x:v>
      </x:c>
      <x:c r="D63" s="92" t="str">
        <x:v>1.4775570476442624e-05</x:v>
      </x:c>
      <x:c r="E63" s="92" t="str">
        <x:v>5e-05</x:v>
      </x:c>
      <x:c r="F63" s="68" t="str">
        <x:v>通过</x:v>
      </x:c>
    </x:row>
    <x:row r="64">
      <x:c r="A64" s="68" t="str">
        <x:v>CASE_220_RM_P30</x:v>
      </x:c>
      <x:c r="B64" s="68" t="str">
        <x:v>transducer_current_peak</x:v>
      </x:c>
      <x:c r="C64" s="92" t="str">
        <x:v>5.6313791334944296e-08</x:v>
      </x:c>
      <x:c r="D64" s="92" t="str">
        <x:v>1.2720269196508609e-05</x:v>
      </x:c>
      <x:c r="E64" s="92" t="str">
        <x:v>5e-05</x:v>
      </x:c>
      <x:c r="F64" s="68" t="str">
        <x:v>通过</x:v>
      </x:c>
    </x:row>
    <x:row r="65">
      <x:c r="A65" s="68" t="str">
        <x:v>CASE_220_RM_P30</x:v>
      </x:c>
      <x:c r="B65" s="68" t="str">
        <x:v>motional_current_peak</x:v>
      </x:c>
      <x:c r="C65" s="92" t="str">
        <x:v>5.017480448482603e-08</x:v>
      </x:c>
      <x:c r="D65" s="92" t="str">
        <x:v>1.1637869331697971e-05</x:v>
      </x:c>
      <x:c r="E65" s="92" t="str">
        <x:v>5e-05</x:v>
      </x:c>
      <x:c r="F65" s="68" t="str">
        <x:v>通过</x:v>
      </x:c>
    </x:row>
    <x:row r="66">
      <x:c r="A66" s="68" t="str">
        <x:v>CASE_220_RM_P30</x:v>
      </x:c>
      <x:c r="B66" s="68" t="str">
        <x:v>source_current_peak</x:v>
      </x:c>
      <x:c r="C66" s="92" t="str">
        <x:v>1.68729537977641e-06</x:v>
      </x:c>
      <x:c r="D66" s="92" t="str">
        <x:v>1.4737843749834689e-05</x:v>
      </x:c>
      <x:c r="E66" s="92" t="str">
        <x:v>5e-05</x:v>
      </x:c>
      <x:c r="F66" s="68" t="str">
        <x:v>通过</x:v>
      </x:c>
    </x:row>
    <x:row r="67">
      <x:c r="A67" s="68" t="str">
        <x:v>CASE_220_RM_P30</x:v>
      </x:c>
      <x:c r="B67" s="68" t="str">
        <x:v>matching_loss</x:v>
      </x:c>
      <x:c r="C67" s="92" t="str">
        <x:v>1.3597389167743779e-06</x:v>
      </x:c>
      <x:c r="D67" s="92" t="str">
        <x:v>2.9415611708866854e-05</x:v>
      </x:c>
      <x:c r="E67" s="92" t="str">
        <x:v>5e-05</x:v>
      </x:c>
      <x:c r="F67" s="68" t="str">
        <x:v>通过</x:v>
      </x:c>
    </x:row>
    <x:row r="68">
      <x:c r="A68" s="68" t="str">
        <x:v>CASE_230_RM_P50</x:v>
      </x:c>
      <x:c r="B68" s="68" t="str">
        <x:v>zin_real</x:v>
      </x:c>
      <x:c r="C68" s="92" t="str">
        <x:v>0.001000291997250713</x:v>
      </x:c>
      <x:c r="D68" s="92" t="str">
        <x:v>2.4687221821582582e-05</x:v>
      </x:c>
      <x:c r="E68" s="92" t="str">
        <x:v>5e-05</x:v>
      </x:c>
      <x:c r="F68" s="68" t="str">
        <x:v>通过</x:v>
      </x:c>
    </x:row>
    <x:row r="69">
      <x:c r="A69" s="68" t="str">
        <x:v>CASE_230_RM_P50</x:v>
      </x:c>
      <x:c r="B69" s="68" t="str">
        <x:v>zin_imag</x:v>
      </x:c>
      <x:c r="C69" s="92" t="str">
        <x:v>1.4712847016262742e-06</x:v>
      </x:c>
      <x:c r="D69" s="92" t="str">
        <x:v>8.870689741645277e-09</x:v>
      </x:c>
      <x:c r="E69" s="92" t="str">
        <x:v>5e-05</x:v>
      </x:c>
      <x:c r="F69" s="68" t="str">
        <x:v>通过</x:v>
      </x:c>
    </x:row>
    <x:row r="70">
      <x:c r="A70" s="68" t="str">
        <x:v>CASE_230_RM_P50</x:v>
      </x:c>
      <x:c r="B70" s="68" t="str">
        <x:v>zin_mag</x:v>
      </x:c>
      <x:c r="C70" s="92" t="str">
        <x:v>0.00100001471310307</x:v>
      </x:c>
      <x:c r="D70" s="92" t="str">
        <x:v>6.0230229542427976e-06</x:v>
      </x:c>
      <x:c r="E70" s="92" t="str">
        <x:v>5e-05</x:v>
      </x:c>
      <x:c r="F70" s="68" t="str">
        <x:v>通过</x:v>
      </x:c>
    </x:row>
    <x:row r="71">
      <x:c r="A71" s="68" t="str">
        <x:v>CASE_230_RM_P50</x:v>
      </x:c>
      <x:c r="B71" s="68" t="str">
        <x:v>phase_deg</x:v>
      </x:c>
      <x:c r="C71" s="92" t="str">
        <x:v>0.0019380576923353487</x:v>
      </x:c>
      <x:c r="D71" s="92" t="str">
        <x:v>2.2178421999531866e-05</x:v>
      </x:c>
      <x:c r="E71" s="92" t="str">
        <x:v>5e-05</x:v>
      </x:c>
      <x:c r="F71" s="68" t="str">
        <x:v>通过</x:v>
      </x:c>
    </x:row>
    <x:row r="72">
      <x:c r="A72" s="68" t="str">
        <x:v>CASE_230_RM_P50</x:v>
      </x:c>
      <x:c r="B72" s="68" t="str">
        <x:v>active_power</x:v>
      </x:c>
      <x:c r="C72" s="92" t="str">
        <x:v>2.6078693915743134e-06</x:v>
      </x:c>
      <x:c r="D72" s="92" t="str">
        <x:v>2.2300898007416285e-05</x:v>
      </x:c>
      <x:c r="E72" s="92" t="str">
        <x:v>5e-05</x:v>
      </x:c>
      <x:c r="F72" s="68" t="str">
        <x:v>通过</x:v>
      </x:c>
    </x:row>
    <x:row r="73">
      <x:c r="A73" s="68" t="str">
        <x:v>CASE_230_RM_P50</x:v>
      </x:c>
      <x:c r="B73" s="68" t="str">
        <x:v>reflection_proxy</x:v>
      </x:c>
      <x:c r="C73" s="92" t="str">
        <x:v>2.1918888858940555e-05</x:v>
      </x:c>
      <x:c r="D73" s="92" t="str">
        <x:v>2.247829534741492e-05</x:v>
      </x:c>
      <x:c r="E73" s="92" t="str">
        <x:v>5e-05</x:v>
      </x:c>
      <x:c r="F73" s="68" t="str">
        <x:v>通过</x:v>
      </x:c>
    </x:row>
    <x:row r="74">
      <x:c r="A74" s="68" t="str">
        <x:v>CASE_230_RM_P50</x:v>
      </x:c>
      <x:c r="B74" s="68" t="str">
        <x:v>transducer_vpp</x:v>
      </x:c>
      <x:c r="C74" s="92" t="str">
        <x:v>0.002323812401186842</x:v>
      </x:c>
      <x:c r="D74" s="92" t="str">
        <x:v>1.4555201585198407e-05</x:v>
      </x:c>
      <x:c r="E74" s="92" t="str">
        <x:v>5e-05</x:v>
      </x:c>
      <x:c r="F74" s="68" t="str">
        <x:v>通过</x:v>
      </x:c>
    </x:row>
    <x:row r="75">
      <x:c r="A75" s="68" t="str">
        <x:v>CASE_230_RM_P50</x:v>
      </x:c>
      <x:c r="B75" s="68" t="str">
        <x:v>transducer_current_peak</x:v>
      </x:c>
      <x:c r="C75" s="92" t="str">
        <x:v>5.228280072506336e-08</x:v>
      </x:c>
      <x:c r="D75" s="92" t="str">
        <x:v>1.2834184028625202e-05</x:v>
      </x:c>
      <x:c r="E75" s="92" t="str">
        <x:v>5e-05</x:v>
      </x:c>
      <x:c r="F75" s="68" t="str">
        <x:v>通过</x:v>
      </x:c>
    </x:row>
    <x:row r="76">
      <x:c r="A76" s="68" t="str">
        <x:v>CASE_230_RM_P50</x:v>
      </x:c>
      <x:c r="B76" s="68" t="str">
        <x:v>motional_current_peak</x:v>
      </x:c>
      <x:c r="C76" s="92" t="str">
        <x:v>4.665577899281431e-08</x:v>
      </x:c>
      <x:c r="D76" s="92" t="str">
        <x:v>1.1815560654451795e-05</x:v>
      </x:c>
      <x:c r="E76" s="92" t="str">
        <x:v>5e-05</x:v>
      </x:c>
      <x:c r="F76" s="68" t="str">
        <x:v>通过</x:v>
      </x:c>
    </x:row>
    <x:row r="77">
      <x:c r="A77" s="68" t="str">
        <x:v>CASE_230_RM_P50</x:v>
      </x:c>
      <x:c r="B77" s="68" t="str">
        <x:v>source_current_peak</x:v>
      </x:c>
      <x:c r="C77" s="92" t="str">
        <x:v>1.6423945656679484e-06</x:v>
      </x:c>
      <x:c r="D77" s="92" t="str">
        <x:v>1.4517302080739775e-05</x:v>
      </x:c>
      <x:c r="E77" s="92" t="str">
        <x:v>5e-05</x:v>
      </x:c>
      <x:c r="F77" s="68" t="str">
        <x:v>通过</x:v>
      </x:c>
    </x:row>
    <x:row r="78">
      <x:c r="A78" s="68" t="str">
        <x:v>CASE_230_RM_P50</x:v>
      </x:c>
      <x:c r="B78" s="68" t="str">
        <x:v>matching_loss</x:v>
      </x:c>
      <x:c r="C78" s="92" t="str">
        <x:v>1.3076651923585314e-06</x:v>
      </x:c>
      <x:c r="D78" s="92" t="str">
        <x:v>2.8970106266773706e-05</x:v>
      </x:c>
      <x:c r="E78" s="92" t="str">
        <x:v>5e-05</x:v>
      </x:c>
      <x:c r="F78" s="68" t="str">
        <x:v>通过</x:v>
      </x:c>
    </x:row>
    <x:row r="79">
      <x:c r="A79" s="68" t="str">
        <x:v>CASE_310_FS_M1</x:v>
      </x:c>
      <x:c r="B79" s="68" t="str">
        <x:v>zin_real</x:v>
      </x:c>
      <x:c r="C79" s="92" t="str">
        <x:v>0.001000659801299264</x:v>
      </x:c>
      <x:c r="D79" s="92" t="str">
        <x:v>1.717451525691208e-05</x:v>
      </x:c>
      <x:c r="E79" s="92" t="str">
        <x:v>5e-05</x:v>
      </x:c>
      <x:c r="F79" s="68" t="str">
        <x:v>通过</x:v>
      </x:c>
    </x:row>
    <x:row r="80">
      <x:c r="A80" s="68" t="str">
        <x:v>CASE_310_FS_M1</x:v>
      </x:c>
      <x:c r="B80" s="68" t="str">
        <x:v>zin_imag</x:v>
      </x:c>
      <x:c r="C80" s="92" t="str">
        <x:v>3.359793233848052e-06</x:v>
      </x:c>
      <x:c r="D80" s="92" t="str">
        <x:v>2.0320125510381942e-08</x:v>
      </x:c>
      <x:c r="E80" s="92" t="str">
        <x:v>5e-05</x:v>
      </x:c>
      <x:c r="F80" s="68" t="str">
        <x:v>通过</x:v>
      </x:c>
    </x:row>
    <x:row r="81">
      <x:c r="A81" s="68" t="str">
        <x:v>CASE_310_FS_M1</x:v>
      </x:c>
      <x:c r="B81" s="68" t="str">
        <x:v>zin_mag</x:v>
      </x:c>
      <x:c r="C81" s="92" t="str">
        <x:v>0.0010004626230450953</x:v>
      </x:c>
      <x:c r="D81" s="92" t="str">
        <x:v>6.044643980499445e-06</x:v>
      </x:c>
      <x:c r="E81" s="92" t="str">
        <x:v>5e-05</x:v>
      </x:c>
      <x:c r="F81" s="68" t="str">
        <x:v>通过</x:v>
      </x:c>
    </x:row>
    <x:row r="82">
      <x:c r="A82" s="68" t="str">
        <x:v>CASE_310_FS_M1</x:v>
      </x:c>
      <x:c r="B82" s="68" t="str">
        <x:v>phase_deg</x:v>
      </x:c>
      <x:c r="C82" s="92" t="str">
        <x:v>0.002592131183511981</x:v>
      </x:c>
      <x:c r="D82" s="92" t="str">
        <x:v>2.965496304618911e-05</x:v>
      </x:c>
      <x:c r="E82" s="92" t="str">
        <x:v>5e-05</x:v>
      </x:c>
      <x:c r="F82" s="68" t="str">
        <x:v>通过</x:v>
      </x:c>
    </x:row>
    <x:row r="83">
      <x:c r="A83" s="68" t="str">
        <x:v>CASE_310_FS_M1</x:v>
      </x:c>
      <x:c r="B83" s="68" t="str">
        <x:v>active_power</x:v>
      </x:c>
      <x:c r="C83" s="92" t="str">
        <x:v>2.604686781454424e-06</x:v>
      </x:c>
      <x:c r="D83" s="92" t="str">
        <x:v>2.1004863426711358e-05</x:v>
      </x:c>
      <x:c r="E83" s="92" t="str">
        <x:v>5e-05</x:v>
      </x:c>
      <x:c r="F83" s="68" t="str">
        <x:v>通过</x:v>
      </x:c>
    </x:row>
    <x:row r="84">
      <x:c r="A84" s="68" t="str">
        <x:v>CASE_310_FS_M1</x:v>
      </x:c>
      <x:c r="B84" s="68" t="str">
        <x:v>reflection_proxy</x:v>
      </x:c>
      <x:c r="C84" s="92" t="str">
        <x:v>2.582362062408805e-05</x:v>
      </x:c>
      <x:c r="D84" s="92" t="str">
        <x:v>2.6478070288903905e-05</x:v>
      </x:c>
      <x:c r="E84" s="92" t="str">
        <x:v>5e-05</x:v>
      </x:c>
      <x:c r="F84" s="68" t="str">
        <x:v>通过</x:v>
      </x:c>
    </x:row>
    <x:row r="85">
      <x:c r="A85" s="68" t="str">
        <x:v>CASE_310_FS_M1</x:v>
      </x:c>
      <x:c r="B85" s="68" t="str">
        <x:v>transducer_vpp</x:v>
      </x:c>
      <x:c r="C85" s="92" t="str">
        <x:v>0.002765975701692014</x:v>
      </x:c>
      <x:c r="D85" s="92" t="str">
        <x:v>1.59852884686709e-05</x:v>
      </x:c>
      <x:c r="E85" s="92" t="str">
        <x:v>5e-05</x:v>
      </x:c>
      <x:c r="F85" s="68" t="str">
        <x:v>通过</x:v>
      </x:c>
    </x:row>
    <x:row r="86">
      <x:c r="A86" s="68" t="str">
        <x:v>CASE_310_FS_M1</x:v>
      </x:c>
      <x:c r="B86" s="68" t="str">
        <x:v>transducer_current_peak</x:v>
      </x:c>
      <x:c r="C86" s="92" t="str">
        <x:v>6.224645757082342e-08</x:v>
      </x:c>
      <x:c r="D86" s="92" t="str">
        <x:v>1.2103898351958785e-05</x:v>
      </x:c>
      <x:c r="E86" s="92" t="str">
        <x:v>5e-05</x:v>
      </x:c>
      <x:c r="F86" s="68" t="str">
        <x:v>通过</x:v>
      </x:c>
    </x:row>
    <x:row r="87">
      <x:c r="A87" s="68" t="str">
        <x:v>CASE_310_FS_M1</x:v>
      </x:c>
      <x:c r="B87" s="68" t="str">
        <x:v>motional_current_peak</x:v>
      </x:c>
      <x:c r="C87" s="92" t="str">
        <x:v>5.656570784429854e-08</x:v>
      </x:c>
      <x:c r="D87" s="92" t="str">
        <x:v>1.1358484933982454e-05</x:v>
      </x:c>
      <x:c r="E87" s="92" t="str">
        <x:v>5e-05</x:v>
      </x:c>
      <x:c r="F87" s="68" t="str">
        <x:v>通过</x:v>
      </x:c>
    </x:row>
    <x:row r="88">
      <x:c r="A88" s="68" t="str">
        <x:v>CASE_310_FS_M1</x:v>
      </x:c>
      <x:c r="B88" s="68" t="str">
        <x:v>source_current_peak</x:v>
      </x:c>
      <x:c r="C88" s="92" t="str">
        <x:v>1.944776932202852e-06</x:v>
      </x:c>
      <x:c r="D88" s="92" t="str">
        <x:v>1.5960990069683376e-05</x:v>
      </x:c>
      <x:c r="E88" s="92" t="str">
        <x:v>5e-05</x:v>
      </x:c>
      <x:c r="F88" s="68" t="str">
        <x:v>通过</x:v>
      </x:c>
    </x:row>
    <x:row r="89">
      <x:c r="A89" s="68" t="str">
        <x:v>CASE_310_FS_M1</x:v>
      </x:c>
      <x:c r="B89" s="68" t="str">
        <x:v>matching_loss</x:v>
      </x:c>
      <x:c r="C89" s="92" t="str">
        <x:v>1.669961574926604e-06</x:v>
      </x:c>
      <x:c r="D89" s="92" t="str">
        <x:v>3.189504649723971e-05</x:v>
      </x:c>
      <x:c r="E89" s="92" t="str">
        <x:v>5e-05</x:v>
      </x:c>
      <x:c r="F89" s="68" t="str">
        <x:v>通过</x:v>
      </x:c>
    </x:row>
    <x:row r="90">
      <x:c r="A90" s="68" t="str">
        <x:v>CASE_320_FS_M3</x:v>
      </x:c>
      <x:c r="B90" s="68" t="str">
        <x:v>zin_real</x:v>
      </x:c>
      <x:c r="C90" s="92" t="str">
        <x:v>0.0010006872672327916</x:v>
      </x:c>
      <x:c r="D90" s="92" t="str">
        <x:v>1.656902561977e-05</x:v>
      </x:c>
      <x:c r="E90" s="92" t="str">
        <x:v>5e-05</x:v>
      </x:c>
      <x:c r="F90" s="68" t="str">
        <x:v>通过</x:v>
      </x:c>
    </x:row>
    <x:row r="91">
      <x:c r="A91" s="68" t="str">
        <x:v>CASE_320_FS_M3</x:v>
      </x:c>
      <x:c r="B91" s="68" t="str">
        <x:v>zin_imag</x:v>
      </x:c>
      <x:c r="C91" s="92" t="str">
        <x:v>3.499591951339198e-06</x:v>
      </x:c>
      <x:c r="D91" s="92" t="str">
        <x:v>2.133512177765265e-08</x:v>
      </x:c>
      <x:c r="E91" s="92" t="str">
        <x:v>5e-05</x:v>
      </x:c>
      <x:c r="F91" s="68" t="str">
        <x:v>通过</x:v>
      </x:c>
    </x:row>
    <x:row r="92">
      <x:c r="A92" s="68" t="str">
        <x:v>CASE_320_FS_M3</x:v>
      </x:c>
      <x:c r="B92" s="68" t="str">
        <x:v>zin_mag</x:v>
      </x:c>
      <x:c r="C92" s="92" t="str">
        <x:v>0.0010002169925815707</x:v>
      </x:c>
      <x:c r="D92" s="92" t="str">
        <x:v>6.091029854656969e-06</x:v>
      </x:c>
      <x:c r="E92" s="92" t="str">
        <x:v>5e-05</x:v>
      </x:c>
      <x:c r="F92" s="68" t="str">
        <x:v>通过</x:v>
      </x:c>
    </x:row>
    <x:row r="93">
      <x:c r="A93" s="68" t="str">
        <x:v>CASE_320_FS_M3</x:v>
      </x:c>
      <x:c r="B93" s="68" t="str">
        <x:v>phase_deg</x:v>
      </x:c>
      <x:c r="C93" s="92" t="str">
        <x:v>0.003206382703645261</x:v>
      </x:c>
      <x:c r="D93" s="92" t="str">
        <x:v>3.672694445722826e-05</x:v>
      </x:c>
      <x:c r="E93" s="92" t="str">
        <x:v>5e-05</x:v>
      </x:c>
      <x:c r="F93" s="68" t="str">
        <x:v>通过</x:v>
      </x:c>
    </x:row>
    <x:row r="94">
      <x:c r="A94" s="68" t="str">
        <x:v>CASE_320_FS_M3</x:v>
      </x:c>
      <x:c r="B94" s="68" t="str">
        <x:v>active_power</x:v>
      </x:c>
      <x:c r="C94" s="92" t="str">
        <x:v>2.1214737402214245e-06</x:v>
      </x:c>
      <x:c r="D94" s="92" t="str">
        <x:v>1.875242897046356e-05</x:v>
      </x:c>
      <x:c r="E94" s="92" t="str">
        <x:v>5e-05</x:v>
      </x:c>
      <x:c r="F94" s="68" t="str">
        <x:v>通过</x:v>
      </x:c>
    </x:row>
    <x:row r="95">
      <x:c r="A95" s="68" t="str">
        <x:v>CASE_320_FS_M3</x:v>
      </x:c>
      <x:c r="B95" s="68" t="str">
        <x:v>reflection_proxy</x:v>
      </x:c>
      <x:c r="C95" s="92" t="str">
        <x:v>2.8373261887759682e-05</x:v>
      </x:c>
      <x:c r="D95" s="92" t="str">
        <x:v>2.9127242676444343e-05</x:v>
      </x:c>
      <x:c r="E95" s="92" t="str">
        <x:v>5e-05</x:v>
      </x:c>
      <x:c r="F95" s="68" t="str">
        <x:v>通过</x:v>
      </x:c>
    </x:row>
    <x:row r="96">
      <x:c r="A96" s="68" t="str">
        <x:v>CASE_320_FS_M3</x:v>
      </x:c>
      <x:c r="B96" s="68" t="str">
        <x:v>transducer_vpp</x:v>
      </x:c>
      <x:c r="C96" s="92" t="str">
        <x:v>0.0030522160568011714</x:v>
      </x:c>
      <x:c r="D96" s="92" t="str">
        <x:v>1.6830762334323475e-05</x:v>
      </x:c>
      <x:c r="E96" s="92" t="str">
        <x:v>5e-05</x:v>
      </x:c>
      <x:c r="F96" s="68" t="str">
        <x:v>通过</x:v>
      </x:c>
    </x:row>
    <x:row r="97">
      <x:c r="A97" s="68" t="str">
        <x:v>CASE_320_FS_M3</x:v>
      </x:c>
      <x:c r="B97" s="68" t="str">
        <x:v>transducer_current_peak</x:v>
      </x:c>
      <x:c r="C97" s="92" t="str">
        <x:v>4.968422568328579e-08</x:v>
      </x:c>
      <x:c r="D97" s="92" t="str">
        <x:v>1.0074172317034748e-05</x:v>
      </x:c>
      <x:c r="E97" s="92" t="str">
        <x:v>5e-05</x:v>
      </x:c>
      <x:c r="F97" s="68" t="str">
        <x:v>通过</x:v>
      </x:c>
    </x:row>
    <x:row r="98">
      <x:c r="A98" s="68" t="str">
        <x:v>CASE_320_FS_M3</x:v>
      </x:c>
      <x:c r="B98" s="68" t="str">
        <x:v>motional_current_peak</x:v>
      </x:c>
      <x:c r="C98" s="92" t="str">
        <x:v>4.6372886731982366e-08</x:v>
      </x:c>
      <x:c r="D98" s="92" t="str">
        <x:v>9.748977504973301e-06</x:v>
      </x:c>
      <x:c r="E98" s="92" t="str">
        <x:v>5e-05</x:v>
      </x:c>
      <x:c r="F98" s="68" t="str">
        <x:v>通过</x:v>
      </x:c>
    </x:row>
    <x:row r="99">
      <x:c r="A99" s="68" t="str">
        <x:v>CASE_320_FS_M3</x:v>
      </x:c>
      <x:c r="B99" s="68" t="str">
        <x:v>source_current_peak</x:v>
      </x:c>
      <x:c r="C99" s="92" t="str">
        <x:v>2.1456813323328383e-06</x:v>
      </x:c>
      <x:c r="D99" s="92" t="str">
        <x:v>1.6826148370174465e-05</x:v>
      </x:c>
      <x:c r="E99" s="92" t="str">
        <x:v>5e-05</x:v>
      </x:c>
      <x:c r="F99" s="68" t="str">
        <x:v>通过</x:v>
      </x:c>
    </x:row>
    <x:row r="100">
      <x:c r="A100" s="68" t="str">
        <x:v>CASE_320_FS_M3</x:v>
      </x:c>
      <x:c r="B100" s="68" t="str">
        <x:v>matching_loss</x:v>
      </x:c>
      <x:c r="C100" s="92" t="str">
        <x:v>1.929602292928545e-06</x:v>
      </x:c>
      <x:c r="D100" s="92" t="str">
        <x:v>3.364677815403331e-05</x:v>
      </x:c>
      <x:c r="E100" s="92" t="str">
        <x:v>5e-05</x:v>
      </x:c>
      <x:c r="F100" s="68" t="str">
        <x:v>通过</x:v>
      </x:c>
    </x:row>
    <x:row r="101">
      <x:c r="A101" s="68" t="str">
        <x:v>CASE_330_FS_M5</x:v>
      </x:c>
      <x:c r="B101" s="68" t="str">
        <x:v>zin_real</x:v>
      </x:c>
      <x:c r="C101" s="92" t="str">
        <x:v>0.001000717199435286</x:v>
      </x:c>
      <x:c r="D101" s="92" t="str">
        <x:v>1.5970221284961263e-05</x:v>
      </x:c>
      <x:c r="E101" s="92" t="str">
        <x:v>5e-05</x:v>
      </x:c>
      <x:c r="F101" s="68" t="str">
        <x:v>通过</x:v>
      </x:c>
    </x:row>
    <x:row r="102">
      <x:c r="A102" s="68" t="str">
        <x:v>CASE_330_FS_M5</x:v>
      </x:c>
      <x:c r="B102" s="68" t="str">
        <x:v>zin_imag</x:v>
      </x:c>
      <x:c r="C102" s="92" t="str">
        <x:v>3.6494811084253342e-06</x:v>
      </x:c>
      <x:c r="D102" s="92" t="str">
        <x:v>2.254115417991467e-08</x:v>
      </x:c>
      <x:c r="E102" s="92" t="str">
        <x:v>5e-05</x:v>
      </x:c>
      <x:c r="F102" s="68" t="str">
        <x:v>通过</x:v>
      </x:c>
    </x:row>
    <x:row r="103">
      <x:c r="A103" s="68" t="str">
        <x:v>CASE_330_FS_M5</x:v>
      </x:c>
      <x:c r="B103" s="68" t="str">
        <x:v>zin_mag</x:v>
      </x:c>
      <x:c r="C103" s="92" t="str">
        <x:v>0.001000109651137393</x:v>
      </x:c>
      <x:c r="D103" s="92" t="str">
        <x:v>6.1692145973227395e-06</x:v>
      </x:c>
      <x:c r="E103" s="92" t="str">
        <x:v>5e-05</x:v>
      </x:c>
      <x:c r="F103" s="68" t="str">
        <x:v>通过</x:v>
      </x:c>
    </x:row>
    <x:row r="104">
      <x:c r="A104" s="68" t="str">
        <x:v>CASE_330_FS_M5</x:v>
      </x:c>
      <x:c r="B104" s="68" t="str">
        <x:v>phase_deg</x:v>
      </x:c>
      <x:c r="C104" s="92" t="str">
        <x:v>0.0035499537679086757</x:v>
      </x:c>
      <x:c r="D104" s="92" t="str">
        <x:v>4.074554089206041e-05</x:v>
      </x:c>
      <x:c r="E104" s="92" t="str">
        <x:v>5e-05</x:v>
      </x:c>
      <x:c r="F104" s="68" t="str">
        <x:v>通过</x:v>
      </x:c>
    </x:row>
    <x:row r="105">
      <x:c r="A105" s="68" t="str">
        <x:v>CASE_330_FS_M5</x:v>
      </x:c>
      <x:c r="B105" s="68" t="str">
        <x:v>active_power</x:v>
      </x:c>
      <x:c r="C105" s="92" t="str">
        <x:v>1.3686066625273607e-06</x:v>
      </x:c>
      <x:c r="D105" s="92" t="str">
        <x:v>1.4665050410984697e-05</x:v>
      </x:c>
      <x:c r="E105" s="92" t="str">
        <x:v>5e-05</x:v>
      </x:c>
      <x:c r="F105" s="68" t="str">
        <x:v>通过</x:v>
      </x:c>
    </x:row>
    <x:row r="106">
      <x:c r="A106" s="68" t="str">
        <x:v>CASE_330_FS_M5</x:v>
      </x:c>
      <x:c r="B106" s="68" t="str">
        <x:v>reflection_proxy</x:v>
      </x:c>
      <x:c r="C106" s="92" t="str">
        <x:v>2.9474374295457295e-05</x:v>
      </x:c>
      <x:c r="D106" s="92" t="str">
        <x:v>3.033146673334216e-05</x:v>
      </x:c>
      <x:c r="E106" s="92" t="str">
        <x:v>5e-05</x:v>
      </x:c>
      <x:c r="F106" s="68" t="str">
        <x:v>通过</x:v>
      </x:c>
    </x:row>
    <x:row r="107">
      <x:c r="A107" s="68" t="str">
        <x:v>CASE_330_FS_M5</x:v>
      </x:c>
      <x:c r="B107" s="68" t="str">
        <x:v>transducer_vpp</x:v>
      </x:c>
      <x:c r="C107" s="92" t="str">
        <x:v>0.0031703954785200494</x:v>
      </x:c>
      <x:c r="D107" s="92" t="str">
        <x:v>1.7161202100937287e-05</x:v>
      </x:c>
      <x:c r="E107" s="92" t="str">
        <x:v>5e-05</x:v>
      </x:c>
      <x:c r="F107" s="68" t="str">
        <x:v>通过</x:v>
      </x:c>
    </x:row>
    <x:row r="108">
      <x:c r="A108" s="68" t="str">
        <x:v>CASE_330_FS_M5</x:v>
      </x:c>
      <x:c r="B108" s="68" t="str">
        <x:v>transducer_current_peak</x:v>
      </x:c>
      <x:c r="C108" s="92" t="str">
        <x:v>3.42293646725389e-08</x:v>
      </x:c>
      <x:c r="D108" s="92" t="str">
        <x:v>7.673042803247982e-06</x:v>
      </x:c>
      <x:c r="E108" s="92" t="str">
        <x:v>5e-05</x:v>
      </x:c>
      <x:c r="F108" s="68" t="str">
        <x:v>通过</x:v>
      </x:c>
    </x:row>
    <x:row r="109">
      <x:c r="A109" s="68" t="str">
        <x:v>CASE_330_FS_M5</x:v>
      </x:c>
      <x:c r="B109" s="68" t="str">
        <x:v>motional_current_peak</x:v>
      </x:c>
      <x:c r="C109" s="92" t="str">
        <x:v>3.2481846604787146e-08</x:v>
      </x:c>
      <x:c r="D109" s="92" t="str">
        <x:v>7.518447447020809e-06</x:v>
      </x:c>
      <x:c r="E109" s="92" t="str">
        <x:v>5e-05</x:v>
      </x:c>
      <x:c r="F109" s="68" t="str">
        <x:v>通过</x:v>
      </x:c>
    </x:row>
    <x:row r="110">
      <x:c r="A110" s="68" t="str">
        <x:v>CASE_330_FS_M5</x:v>
      </x:c>
      <x:c r="B110" s="68" t="str">
        <x:v>source_current_peak</x:v>
      </x:c>
      <x:c r="C110" s="92" t="str">
        <x:v>2.2307416046862816e-06</x:v>
      </x:c>
      <x:c r="D110" s="92" t="str">
        <x:v>1.7165317274125628e-05</x:v>
      </x:c>
      <x:c r="E110" s="92" t="str">
        <x:v>5e-05</x:v>
      </x:c>
      <x:c r="F110" s="68" t="str">
        <x:v>通过</x:v>
      </x:c>
    </x:row>
    <x:row r="111">
      <x:c r="A111" s="68" t="str">
        <x:v>CASE_330_FS_M5</x:v>
      </x:c>
      <x:c r="B111" s="68" t="str">
        <x:v>matching_loss</x:v>
      </x:c>
      <x:c r="C111" s="92" t="str">
        <x:v>2.04467449553547e-06</x:v>
      </x:c>
      <x:c r="D111" s="92" t="str">
        <x:v>3.432938403902294e-05</x:v>
      </x:c>
      <x:c r="E111" s="92" t="str">
        <x:v>5e-05</x:v>
      </x:c>
      <x:c r="F111" s="68" t="str">
        <x:v>通过</x:v>
      </x:c>
    </x:row>
    <x:row r="112">
      <x:c r="A112" s="68" t="str">
        <x:v>CASE_410_RS_P5</x:v>
      </x:c>
      <x:c r="B112" s="68" t="str">
        <x:v>zin_real</x:v>
      </x:c>
      <x:c r="C112" s="92" t="str">
        <x:v>0.001000646931192506</x:v>
      </x:c>
      <x:c r="D112" s="92" t="str">
        <x:v>1.747966781483269e-05</x:v>
      </x:c>
      <x:c r="E112" s="92" t="str">
        <x:v>5e-05</x:v>
      </x:c>
      <x:c r="F112" s="68" t="str">
        <x:v>通过</x:v>
      </x:c>
    </x:row>
    <x:row r="113">
      <x:c r="A113" s="68" t="str">
        <x:v>CASE_410_RS_P5</x:v>
      </x:c>
      <x:c r="B113" s="68" t="str">
        <x:v>zin_imag</x:v>
      </x:c>
      <x:c r="C113" s="92" t="str">
        <x:v>3.2934267135686923e-06</x:v>
      </x:c>
      <x:c r="D113" s="92" t="str">
        <x:v>1.9860632101219703e-08</x:v>
      </x:c>
      <x:c r="E113" s="92" t="str">
        <x:v>5e-05</x:v>
      </x:c>
      <x:c r="F113" s="68" t="str">
        <x:v>通过</x:v>
      </x:c>
    </x:row>
    <x:row r="114">
      <x:c r="A114" s="68" t="str">
        <x:v>CASE_410_RS_P5</x:v>
      </x:c>
      <x:c r="B114" s="68" t="str">
        <x:v>zin_mag</x:v>
      </x:c>
      <x:c r="C114" s="92" t="str">
        <x:v>0.0010006382723908303</x:v>
      </x:c>
      <x:c r="D114" s="92" t="str">
        <x:v>6.028228746795633e-06</x:v>
      </x:c>
      <x:c r="E114" s="92" t="str">
        <x:v>5e-05</x:v>
      </x:c>
      <x:c r="F114" s="68" t="str">
        <x:v>通过</x:v>
      </x:c>
    </x:row>
    <x:row r="115">
      <x:c r="A115" s="68" t="str">
        <x:v>CASE_410_RS_P5</x:v>
      </x:c>
      <x:c r="B115" s="68" t="str">
        <x:v>phase_deg</x:v>
      </x:c>
      <x:c r="C115" s="92" t="str">
        <x:v>0.0021957450018774693</x:v>
      </x:c>
      <x:c r="D115" s="92" t="str">
        <x:v>2.5110434281964758e-05</x:v>
      </x:c>
      <x:c r="E115" s="92" t="str">
        <x:v>5e-05</x:v>
      </x:c>
      <x:c r="F115" s="68" t="str">
        <x:v>通过</x:v>
      </x:c>
    </x:row>
    <x:row r="116">
      <x:c r="A116" s="68" t="str">
        <x:v>CASE_410_RS_P5</x:v>
      </x:c>
      <x:c r="B116" s="68" t="str">
        <x:v>active_power</x:v>
      </x:c>
      <x:c r="C116" s="92" t="str">
        <x:v>2.311473098787209e-06</x:v>
      </x:c>
      <x:c r="D116" s="92" t="str">
        <x:v>1.9362836230821827e-05</x:v>
      </x:c>
      <x:c r="E116" s="92" t="str">
        <x:v>5e-05</x:v>
      </x:c>
      <x:c r="F116" s="68" t="str">
        <x:v>通过</x:v>
      </x:c>
    </x:row>
    <x:row r="117">
      <x:c r="A117" s="68" t="str">
        <x:v>CASE_410_RS_P5</x:v>
      </x:c>
      <x:c r="B117" s="68" t="str">
        <x:v>reflection_proxy</x:v>
      </x:c>
      <x:c r="C117" s="92" t="str">
        <x:v>2.3094282489366513e-05</x:v>
      </x:c>
      <x:c r="D117" s="92" t="str">
        <x:v>2.369442260905397e-05</x:v>
      </x:c>
      <x:c r="E117" s="92" t="str">
        <x:v>5e-05</x:v>
      </x:c>
      <x:c r="F117" s="68" t="str">
        <x:v>通过</x:v>
      </x:c>
    </x:row>
    <x:row r="118">
      <x:c r="A118" s="68" t="str">
        <x:v>CASE_410_RS_P5</x:v>
      </x:c>
      <x:c r="B118" s="68" t="str">
        <x:v>transducer_vpp</x:v>
      </x:c>
      <x:c r="C118" s="92" t="str">
        <x:v>0.0023394771156404204</x:v>
      </x:c>
      <x:c r="D118" s="92" t="str">
        <x:v>1.464546272409115e-05</x:v>
      </x:c>
      <x:c r="E118" s="92" t="str">
        <x:v>5e-05</x:v>
      </x:c>
      <x:c r="F118" s="68" t="str">
        <x:v>通过</x:v>
      </x:c>
    </x:row>
    <x:row r="119">
      <x:c r="A119" s="68" t="str">
        <x:v>CASE_410_RS_P5</x:v>
      </x:c>
      <x:c r="B119" s="68" t="str">
        <x:v>transducer_current_peak</x:v>
      </x:c>
      <x:c r="C119" s="92" t="str">
        <x:v>5.962847017450951e-08</x:v>
      </x:c>
      <x:c r="D119" s="92" t="str">
        <x:v>1.198385296880441e-05</x:v>
      </x:c>
      <x:c r="E119" s="92" t="str">
        <x:v>5e-05</x:v>
      </x:c>
      <x:c r="F119" s="68" t="str">
        <x:v>通过</x:v>
      </x:c>
    </x:row>
    <x:row r="120">
      <x:c r="A120" s="68" t="str">
        <x:v>CASE_410_RS_P5</x:v>
      </x:c>
      <x:c r="B120" s="68" t="str">
        <x:v>motional_current_peak</x:v>
      </x:c>
      <x:c r="C120" s="92" t="str">
        <x:v>5.32564069684327e-08</x:v>
      </x:c>
      <x:c r="D120" s="92" t="str">
        <x:v>1.0899257905591077e-05</x:v>
      </x:c>
      <x:c r="E120" s="92" t="str">
        <x:v>5e-05</x:v>
      </x:c>
      <x:c r="F120" s="68" t="str">
        <x:v>通过</x:v>
      </x:c>
    </x:row>
    <x:row r="121">
      <x:c r="A121" s="68" t="str">
        <x:v>CASE_410_RS_P5</x:v>
      </x:c>
      <x:c r="B121" s="68" t="str">
        <x:v>source_current_peak</x:v>
      </x:c>
      <x:c r="C121" s="92" t="str">
        <x:v>1.647448715530464e-06</x:v>
      </x:c>
      <x:c r="D121" s="92" t="str">
        <x:v>1.4610486846964016e-05</x:v>
      </x:c>
      <x:c r="E121" s="92" t="str">
        <x:v>5e-05</x:v>
      </x:c>
      <x:c r="F121" s="68" t="str">
        <x:v>通过</x:v>
      </x:c>
    </x:row>
    <x:row r="122">
      <x:c r="A122" s="68" t="str">
        <x:v>CASE_410_RS_P5</x:v>
      </x:c>
      <x:c r="B122" s="68" t="str">
        <x:v>matching_loss</x:v>
      </x:c>
      <x:c r="C122" s="92" t="str">
        <x:v>1.3081189805877469e-06</x:v>
      </x:c>
      <x:c r="D122" s="92" t="str">
        <x:v>2.917356546466499e-05</x:v>
      </x:c>
      <x:c r="E122" s="92" t="str">
        <x:v>5e-05</x:v>
      </x:c>
      <x:c r="F122" s="68" t="str">
        <x:v>通过</x:v>
      </x:c>
    </x:row>
    <x:row r="123">
      <x:c r="A123" s="68" t="str">
        <x:v>CASE_420_RS_P10</x:v>
      </x:c>
      <x:c r="B123" s="68" t="str">
        <x:v>zin_real</x:v>
      </x:c>
      <x:c r="C123" s="92" t="str">
        <x:v>0.0010006469311889532</x:v>
      </x:c>
      <x:c r="D123" s="92" t="str">
        <x:v>1.747966781477063e-05</x:v>
      </x:c>
      <x:c r="E123" s="92" t="str">
        <x:v>5e-05</x:v>
      </x:c>
      <x:c r="F123" s="68" t="str">
        <x:v>通过</x:v>
      </x:c>
    </x:row>
    <x:row r="124">
      <x:c r="A124" s="68" t="str">
        <x:v>CASE_420_RS_P10</x:v>
      </x:c>
      <x:c r="B124" s="68" t="str">
        <x:v>zin_imag</x:v>
      </x:c>
      <x:c r="C124" s="92" t="str">
        <x:v>3.2934266993578376e-06</x:v>
      </x:c>
      <x:c r="D124" s="92" t="str">
        <x:v>1.9860632015522772e-08</x:v>
      </x:c>
      <x:c r="E124" s="92" t="str">
        <x:v>5e-05</x:v>
      </x:c>
      <x:c r="F124" s="68" t="str">
        <x:v>通过</x:v>
      </x:c>
    </x:row>
    <x:row r="125">
      <x:c r="A125" s="68" t="str">
        <x:v>CASE_420_RS_P10</x:v>
      </x:c>
      <x:c r="B125" s="68" t="str">
        <x:v>zin_mag</x:v>
      </x:c>
      <x:c r="C125" s="92" t="str">
        <x:v>0.0010006382723908303</x:v>
      </x:c>
      <x:c r="D125" s="92" t="str">
        <x:v>6.028228746795633e-06</x:v>
      </x:c>
      <x:c r="E125" s="92" t="str">
        <x:v>5e-05</x:v>
      </x:c>
      <x:c r="F125" s="68" t="str">
        <x:v>通过</x:v>
      </x:c>
    </x:row>
    <x:row r="126">
      <x:c r="A126" s="68" t="str">
        <x:v>CASE_420_RS_P10</x:v>
      </x:c>
      <x:c r="B126" s="68" t="str">
        <x:v>phase_deg</x:v>
      </x:c>
      <x:c r="C126" s="92" t="str">
        <x:v>0.002195745001856153</x:v>
      </x:c>
      <x:c r="D126" s="92" t="str">
        <x:v>2.5110434281720985e-05</x:v>
      </x:c>
      <x:c r="E126" s="92" t="str">
        <x:v>5e-05</x:v>
      </x:c>
      <x:c r="F126" s="68" t="str">
        <x:v>通过</x:v>
      </x:c>
    </x:row>
    <x:row r="127">
      <x:c r="A127" s="68" t="str">
        <x:v>CASE_420_RS_P10</x:v>
      </x:c>
      <x:c r="B127" s="68" t="str">
        <x:v>active_power</x:v>
      </x:c>
      <x:c r="C127" s="92" t="str">
        <x:v>2.1312399857559283e-06</x:v>
      </x:c>
      <x:c r="D127" s="92" t="str">
        <x:v>1.867605648154756e-05</x:v>
      </x:c>
      <x:c r="E127" s="92" t="str">
        <x:v>5e-05</x:v>
      </x:c>
      <x:c r="F127" s="68" t="str">
        <x:v>通过</x:v>
      </x:c>
    </x:row>
    <x:row r="128">
      <x:c r="A128" s="68" t="str">
        <x:v>CASE_420_RS_P10</x:v>
      </x:c>
      <x:c r="B128" s="68" t="str">
        <x:v>reflection_proxy</x:v>
      </x:c>
      <x:c r="C128" s="92" t="str">
        <x:v>2.2558021413376927e-05</x:v>
      </x:c>
      <x:c r="D128" s="92" t="str">
        <x:v>2.316705496181918e-05</x:v>
      </x:c>
      <x:c r="E128" s="92" t="str">
        <x:v>5e-05</x:v>
      </x:c>
      <x:c r="F128" s="68" t="str">
        <x:v>通过</x:v>
      </x:c>
    </x:row>
    <x:row r="129">
      <x:c r="A129" s="68" t="str">
        <x:v>CASE_420_RS_P10</x:v>
      </x:c>
      <x:c r="B129" s="68" t="str">
        <x:v>transducer_vpp</x:v>
      </x:c>
      <x:c r="C129" s="92" t="str">
        <x:v>0.0021791218266855594</x:v>
      </x:c>
      <x:c r="D129" s="92" t="str">
        <x:v>1.414003324336941e-05</x:v>
      </x:c>
      <x:c r="E129" s="92" t="str">
        <x:v>5e-05</x:v>
      </x:c>
      <x:c r="F129" s="68" t="str">
        <x:v>通过</x:v>
      </x:c>
    </x:row>
    <x:row r="130">
      <x:c r="A130" s="68" t="str">
        <x:v>CASE_420_RS_P10</x:v>
      </x:c>
      <x:c r="B130" s="68" t="str">
        <x:v>transducer_current_peak</x:v>
      </x:c>
      <x:c r="C130" s="92" t="str">
        <x:v>5.584514627468562e-08</x:v>
      </x:c>
      <x:c r="D130" s="92" t="str">
        <x:v>1.1495209896435787e-05</x:v>
      </x:c>
      <x:c r="E130" s="92" t="str">
        <x:v>5e-05</x:v>
      </x:c>
      <x:c r="F130" s="68" t="str">
        <x:v>通过</x:v>
      </x:c>
    </x:row>
    <x:row r="131">
      <x:c r="A131" s="68" t="str">
        <x:v>CASE_420_RS_P10</x:v>
      </x:c>
      <x:c r="B131" s="68" t="str">
        <x:v>motional_current_peak</x:v>
      </x:c>
      <x:c r="C131" s="92" t="str">
        <x:v>5.001324736211149e-08</x:v>
      </x:c>
      <x:c r="D131" s="92" t="str">
        <x:v>1.0468789512662167e-05</x:v>
      </x:c>
      <x:c r="E131" s="92" t="str">
        <x:v>5e-05</x:v>
      </x:c>
      <x:c r="F131" s="68" t="str">
        <x:v>通过</x:v>
      </x:c>
    </x:row>
    <x:row r="132">
      <x:c r="A132" s="68" t="str">
        <x:v>CASE_420_RS_P10</x:v>
      </x:c>
      <x:c r="B132" s="68" t="str">
        <x:v>source_current_peak</x:v>
      </x:c>
      <x:c r="C132" s="92" t="str">
        <x:v>1.5348635139383893e-06</x:v>
      </x:c>
      <x:c r="D132" s="92" t="str">
        <x:v>1.4106217262702409e-05</x:v>
      </x:c>
      <x:c r="E132" s="92" t="str">
        <x:v>5e-05</x:v>
      </x:c>
      <x:c r="F132" s="68" t="str">
        <x:v>通过</x:v>
      </x:c>
    </x:row>
    <x:row r="133">
      <x:c r="A133" s="68" t="str">
        <x:v>CASE_420_RS_P10</x:v>
      </x:c>
      <x:c r="B133" s="68" t="str">
        <x:v>matching_loss</x:v>
      </x:c>
      <x:c r="C133" s="92" t="str">
        <x:v>1.1760952575781691e-06</x:v>
      </x:c>
      <x:c r="D133" s="92" t="str">
        <x:v>2.8168310970959858e-05</x:v>
      </x:c>
      <x:c r="E133" s="92" t="str">
        <x:v>5e-05</x:v>
      </x:c>
      <x:c r="F133" s="68" t="str">
        <x:v>通过</x:v>
      </x:c>
    </x:row>
    <x:row r="134">
      <x:c r="A134" s="68" t="str">
        <x:v>CASE_430_RS_P20</x:v>
      </x:c>
      <x:c r="B134" s="68" t="str">
        <x:v>zin_real</x:v>
      </x:c>
      <x:c r="C134" s="92" t="str">
        <x:v>0.001000646931192506</x:v>
      </x:c>
      <x:c r="D134" s="92" t="str">
        <x:v>1.747966781483269e-05</x:v>
      </x:c>
      <x:c r="E134" s="92" t="str">
        <x:v>5e-05</x:v>
      </x:c>
      <x:c r="F134" s="68" t="str">
        <x:v>通过</x:v>
      </x:c>
    </x:row>
    <x:row r="135">
      <x:c r="A135" s="68" t="str">
        <x:v>CASE_430_RS_P20</x:v>
      </x:c>
      <x:c r="B135" s="68" t="str">
        <x:v>zin_imag</x:v>
      </x:c>
      <x:c r="C135" s="92" t="str">
        <x:v>3.293426704686908e-06</x:v>
      </x:c>
      <x:c r="D135" s="92" t="str">
        <x:v>1.9860632047659123e-08</x:v>
      </x:c>
      <x:c r="E135" s="92" t="str">
        <x:v>5e-05</x:v>
      </x:c>
      <x:c r="F135" s="68" t="str">
        <x:v>通过</x:v>
      </x:c>
    </x:row>
    <x:row r="136">
      <x:c r="A136" s="68" t="str">
        <x:v>CASE_430_RS_P20</x:v>
      </x:c>
      <x:c r="B136" s="68" t="str">
        <x:v>zin_mag</x:v>
      </x:c>
      <x:c r="C136" s="92" t="str">
        <x:v>0.0010006382723872775</x:v>
      </x:c>
      <x:c r="D136" s="92" t="str">
        <x:v>6.0282287467742305e-06</x:v>
      </x:c>
      <x:c r="E136" s="92" t="str">
        <x:v>5e-05</x:v>
      </x:c>
      <x:c r="F136" s="68" t="str">
        <x:v>通过</x:v>
      </x:c>
    </x:row>
    <x:row r="137">
      <x:c r="A137" s="68" t="str">
        <x:v>CASE_430_RS_P20</x:v>
      </x:c>
      <x:c r="B137" s="68" t="str">
        <x:v>phase_deg</x:v>
      </x:c>
      <x:c r="C137" s="92" t="str">
        <x:v>0.002195745001870364</x:v>
      </x:c>
      <x:c r="D137" s="92" t="str">
        <x:v>2.51104342818835e-05</x:v>
      </x:c>
      <x:c r="E137" s="92" t="str">
        <x:v>5e-05</x:v>
      </x:c>
      <x:c r="F137" s="68" t="str">
        <x:v>通过</x:v>
      </x:c>
    </x:row>
    <x:row r="138">
      <x:c r="A138" s="68" t="str">
        <x:v>CASE_430_RS_P20</x:v>
      </x:c>
      <x:c r="B138" s="68" t="str">
        <x:v>active_power</x:v>
      </x:c>
      <x:c r="C138" s="92" t="str">
        <x:v>1.8324605436242924e-06</x:v>
      </x:c>
      <x:c r="D138" s="92" t="str">
        <x:v>1.7520680036963906e-05</x:v>
      </x:c>
      <x:c r="E138" s="92" t="str">
        <x:v>5e-05</x:v>
      </x:c>
      <x:c r="F138" s="68" t="str">
        <x:v>通过</x:v>
      </x:c>
    </x:row>
    <x:row r="139">
      <x:c r="A139" s="68" t="str">
        <x:v>CASE_430_RS_P20</x:v>
      </x:c>
      <x:c r="B139" s="68" t="str">
        <x:v>reflection_proxy</x:v>
      </x:c>
      <x:c r="C139" s="92" t="str">
        <x:v>2.1530683880000012e-05</x:v>
      </x:c>
      <x:c r="D139" s="92" t="str">
        <x:v>2.2153733271996545e-05</x:v>
      </x:c>
      <x:c r="E139" s="92" t="str">
        <x:v>5e-05</x:v>
      </x:c>
      <x:c r="F139" s="68" t="str">
        <x:v>通过</x:v>
      </x:c>
    </x:row>
    <x:row r="140">
      <x:c r="A140" s="68" t="str">
        <x:v>CASE_430_RS_P20</x:v>
      </x:c>
      <x:c r="B140" s="68" t="str">
        <x:v>transducer_vpp</x:v>
      </x:c>
      <x:c r="C140" s="92" t="str">
        <x:v>0.0019039178469029139</x:v>
      </x:c>
      <x:c r="D140" s="92" t="str">
        <x:v>1.3226422433435547e-05</x:v>
      </x:c>
      <x:c r="E140" s="92" t="str">
        <x:v>5e-05</x:v>
      </x:c>
      <x:c r="F140" s="68" t="str">
        <x:v>通过</x:v>
      </x:c>
    </x:row>
    <x:row r="141">
      <x:c r="A141" s="68" t="str">
        <x:v>CASE_430_RS_P20</x:v>
      </x:c>
      <x:c r="B141" s="68" t="str">
        <x:v>transducer_current_peak</x:v>
      </x:c>
      <x:c r="C141" s="92" t="str">
        <x:v>4.934338917843284e-08</x:v>
      </x:c>
      <x:c r="D141" s="92" t="str">
        <x:v>1.0632824080582737e-05</x:v>
      </x:c>
      <x:c r="E141" s="92" t="str">
        <x:v>5e-05</x:v>
      </x:c>
      <x:c r="F141" s="68" t="str">
        <x:v>通过</x:v>
      </x:c>
    </x:row>
    <x:row r="142">
      <x:c r="A142" s="68" t="str">
        <x:v>CASE_430_RS_P20</x:v>
      </x:c>
      <x:c r="B142" s="68" t="str">
        <x:v>motional_current_peak</x:v>
      </x:c>
      <x:c r="C142" s="92" t="str">
        <x:v>4.44388634302309e-08</x:v>
      </x:c>
      <x:c r="D142" s="92" t="str">
        <x:v>9.716416173641227e-06</x:v>
      </x:c>
      <x:c r="E142" s="92" t="str">
        <x:v>5e-05</x:v>
      </x:c>
      <x:c r="F142" s="68" t="str">
        <x:v>通过</x:v>
      </x:c>
    </x:row>
    <x:row r="143">
      <x:c r="A143" s="68" t="str">
        <x:v>CASE_430_RS_P20</x:v>
      </x:c>
      <x:c r="B143" s="68" t="str">
        <x:v>source_current_peak</x:v>
      </x:c>
      <x:c r="C143" s="92" t="str">
        <x:v>1.3415923938442376e-06</x:v>
      </x:c>
      <x:c r="D143" s="92" t="str">
        <x:v>1.3194832807863713e-05</x:v>
      </x:c>
      <x:c r="E143" s="92" t="str">
        <x:v>5e-05</x:v>
      </x:c>
      <x:c r="F143" s="68" t="str">
        <x:v>通过</x:v>
      </x:c>
    </x:row>
    <x:row r="144">
      <x:c r="A144" s="68" t="str">
        <x:v>CASE_430_RS_P20</x:v>
      </x:c>
      <x:c r="B144" s="68" t="str">
        <x:v>matching_loss</x:v>
      </x:c>
      <x:c r="C144" s="92" t="str">
        <x:v>9.607171955125504e-07</x:v>
      </x:c>
      <x:c r="D144" s="92" t="str">
        <x:v>2.6351107218787514e-05</x:v>
      </x:c>
      <x:c r="E144" s="92" t="str">
        <x:v>5e-05</x:v>
      </x:c>
      <x:c r="F144" s="68" t="str">
        <x:v>通过</x:v>
      </x:c>
    </x:row>
    <x:row r="145">
      <x:c r="A145" s="68" t="str">
        <x:v>CASE_510_LS_P2</x:v>
      </x:c>
      <x:c r="B145" s="68" t="str">
        <x:v>zin_real</x:v>
      </x:c>
      <x:c r="C145" s="92" t="str">
        <x:v>0.0010006469355801073</x:v>
      </x:c>
      <x:c r="D145" s="92" t="str">
        <x:v>1.7436700408979805e-05</x:v>
      </x:c>
      <x:c r="E145" s="92" t="str">
        <x:v>5e-05</x:v>
      </x:c>
      <x:c r="F145" s="68" t="str">
        <x:v>通过</x:v>
      </x:c>
    </x:row>
    <x:row r="146">
      <x:c r="A146" s="68" t="str">
        <x:v>CASE_510_LS_P2</x:v>
      </x:c>
      <x:c r="B146" s="68" t="str">
        <x:v>zin_imag</x:v>
      </x:c>
      <x:c r="C146" s="92" t="str">
        <x:v>3.2934267437667586e-06</x:v>
      </x:c>
      <x:c r="D146" s="92" t="str">
        <x:v>2.084788888809758e-08</x:v>
      </x:c>
      <x:c r="E146" s="92" t="str">
        <x:v>5e-05</x:v>
      </x:c>
      <x:c r="F146" s="68" t="str">
        <x:v>通过</x:v>
      </x:c>
    </x:row>
    <x:row r="147">
      <x:c r="A147" s="68" t="str">
        <x:v>CASE_510_LS_P2</x:v>
      </x:c>
      <x:c r="B147" s="68" t="str">
        <x:v>zin_mag</x:v>
      </x:c>
      <x:c r="C147" s="92" t="str">
        <x:v>0.0010005416890326302</x:v>
      </x:c>
      <x:c r="D147" s="92" t="str">
        <x:v>6.326490151317977e-06</x:v>
      </x:c>
      <x:c r="E147" s="92" t="str">
        <x:v>5e-05</x:v>
      </x:c>
      <x:c r="F147" s="68" t="str">
        <x:v>通过</x:v>
      </x:c>
    </x:row>
    <x:row r="148">
      <x:c r="A148" s="68" t="str">
        <x:v>CASE_510_LS_P2</x:v>
      </x:c>
      <x:c r="B148" s="68" t="str">
        <x:v>phase_deg</x:v>
      </x:c>
      <x:c r="C148" s="92" t="str">
        <x:v>0.0023778844165036617</x:v>
      </x:c>
      <x:c r="D148" s="92" t="str">
        <x:v>2.7241599350869498e-05</x:v>
      </x:c>
      <x:c r="E148" s="92" t="str">
        <x:v>5e-05</x:v>
      </x:c>
      <x:c r="F148" s="68" t="str">
        <x:v>通过</x:v>
      </x:c>
    </x:row>
    <x:row r="149">
      <x:c r="A149" s="68" t="str">
        <x:v>CASE_510_LS_P2</x:v>
      </x:c>
      <x:c r="B149" s="68" t="str">
        <x:v>active_power</x:v>
      </x:c>
      <x:c r="C149" s="92" t="str">
        <x:v>2.5922232275987778e-06</x:v>
      </x:c>
      <x:c r="D149" s="92" t="str">
        <x:v>2.0887797237212944e-05</x:v>
      </x:c>
      <x:c r="E149" s="92" t="str">
        <x:v>5e-05</x:v>
      </x:c>
      <x:c r="F149" s="68" t="str">
        <x:v>通过</x:v>
      </x:c>
    </x:row>
    <x:row r="150">
      <x:c r="A150" s="68" t="str">
        <x:v>CASE_510_LS_P2</x:v>
      </x:c>
      <x:c r="B150" s="68" t="str">
        <x:v>reflection_proxy</x:v>
      </x:c>
      <x:c r="C150" s="92" t="str">
        <x:v>2.4771287872482617e-05</x:v>
      </x:c>
      <x:c r="D150" s="92" t="str">
        <x:v>2.545428353086256e-05</x:v>
      </x:c>
      <x:c r="E150" s="92" t="str">
        <x:v>5e-05</x:v>
      </x:c>
      <x:c r="F150" s="68" t="str">
        <x:v>通过</x:v>
      </x:c>
    </x:row>
    <x:row r="151">
      <x:c r="A151" s="68" t="str">
        <x:v>CASE_510_LS_P2</x:v>
      </x:c>
      <x:c r="B151" s="68" t="str">
        <x:v>transducer_vpp</x:v>
      </x:c>
      <x:c r="C151" s="92" t="str">
        <x:v>0.0026488272661708834</x:v>
      </x:c>
      <x:c r="D151" s="92" t="str">
        <x:v>1.5553410941535166e-05</x:v>
      </x:c>
      <x:c r="E151" s="92" t="str">
        <x:v>5e-05</x:v>
      </x:c>
      <x:c r="F151" s="68" t="str">
        <x:v>通过</x:v>
      </x:c>
    </x:row>
    <x:row r="152">
      <x:c r="A152" s="68" t="str">
        <x:v>CASE_510_LS_P2</x:v>
      </x:c>
      <x:c r="B152" s="68" t="str">
        <x:v>transducer_current_peak</x:v>
      </x:c>
      <x:c r="C152" s="92" t="str">
        <x:v>6.130341653060034e-08</x:v>
      </x:c>
      <x:c r="D152" s="92" t="str">
        <x:v>1.2298792861005372e-05</x:v>
      </x:c>
      <x:c r="E152" s="92" t="str">
        <x:v>5e-05</x:v>
      </x:c>
      <x:c r="F152" s="68" t="str">
        <x:v>通过</x:v>
      </x:c>
    </x:row>
    <x:row r="153">
      <x:c r="A153" s="68" t="str">
        <x:v>CASE_510_LS_P2</x:v>
      </x:c>
      <x:c r="B153" s="68" t="str">
        <x:v>motional_current_peak</x:v>
      </x:c>
      <x:c r="C153" s="92" t="str">
        <x:v>5.6922598471592645e-08</x:v>
      </x:c>
      <x:c r="D153" s="92" t="str">
        <x:v>1.142562173401765e-05</x:v>
      </x:c>
      <x:c r="E153" s="92" t="str">
        <x:v>5e-05</x:v>
      </x:c>
      <x:c r="F153" s="68" t="str">
        <x:v>通过</x:v>
      </x:c>
    </x:row>
    <x:row r="154">
      <x:c r="A154" s="68" t="str">
        <x:v>CASE_510_LS_P2</x:v>
      </x:c>
      <x:c r="B154" s="68" t="str">
        <x:v>source_current_peak</x:v>
      </x:c>
      <x:c r="C154" s="92" t="str">
        <x:v>1.8638980721352727e-06</x:v>
      </x:c>
      <x:c r="D154" s="92" t="str">
        <x:v>1.5601724400079146e-05</x:v>
      </x:c>
      <x:c r="E154" s="92" t="str">
        <x:v>5e-05</x:v>
      </x:c>
      <x:c r="F154" s="68" t="str">
        <x:v>通过</x:v>
      </x:c>
    </x:row>
    <x:row r="155">
      <x:c r="A155" s="68" t="str">
        <x:v>CASE_510_LS_P2</x:v>
      </x:c>
      <x:c r="B155" s="68" t="str">
        <x:v>matching_loss</x:v>
      </x:c>
      <x:c r="C155" s="92" t="str">
        <x:v>1.6002607397744284e-06</x:v>
      </x:c>
      <x:c r="D155" s="92" t="str">
        <x:v>3.116937973136468e-05</x:v>
      </x:c>
      <x:c r="E155" s="92" t="str">
        <x:v>5e-05</x:v>
      </x:c>
      <x:c r="F155" s="68" t="str">
        <x:v>通过</x:v>
      </x:c>
    </x:row>
    <x:row r="156">
      <x:c r="A156" s="68" t="str">
        <x:v>CASE_520_LS_P5</x:v>
      </x:c>
      <x:c r="B156" s="68" t="str">
        <x:v>zin_real</x:v>
      </x:c>
      <x:c r="C156" s="92" t="str">
        <x:v>0.001000646927160176</x:v>
      </x:c>
      <x:c r="D156" s="92" t="str">
        <x:v>1.7372643659438983e-05</x:v>
      </x:c>
      <x:c r="E156" s="92" t="str">
        <x:v>5e-05</x:v>
      </x:c>
      <x:c r="F156" s="68" t="str">
        <x:v>通过</x:v>
      </x:c>
    </x:row>
    <x:row r="157">
      <x:c r="A157" s="68" t="str">
        <x:v>CASE_520_LS_P5</x:v>
      </x:c>
      <x:c r="B157" s="68" t="str">
        <x:v>zin_imag</x:v>
      </x:c>
      <x:c r="C157" s="92" t="str">
        <x:v>3.2934267366613312e-06</x:v>
      </x:c>
      <x:c r="D157" s="92" t="str">
        <x:v>1.8147085260505692e-08</x:v>
      </x:c>
      <x:c r="E157" s="92" t="str">
        <x:v>5e-05</x:v>
      </x:c>
      <x:c r="F157" s="68" t="str">
        <x:v>通过</x:v>
      </x:c>
    </x:row>
    <x:row r="158">
      <x:c r="A158" s="68" t="str">
        <x:v>CASE_520_LS_P5</x:v>
      </x:c>
      <x:c r="B158" s="68" t="str">
        <x:v>zin_mag</x:v>
      </x:c>
      <x:c r="C158" s="92" t="str">
        <x:v>0.0010003213162494973</x:v>
      </x:c>
      <x:c r="D158" s="92" t="str">
        <x:v>5.5069179400960485e-06</x:v>
      </x:c>
      <x:c r="E158" s="92" t="str">
        <x:v>5e-05</x:v>
      </x:c>
      <x:c r="F158" s="68" t="str">
        <x:v>通过</x:v>
      </x:c>
    </x:row>
    <x:row r="159">
      <x:c r="A159" s="68" t="str">
        <x:v>CASE_520_LS_P5</x:v>
      </x:c>
      <x:c r="B159" s="68" t="str">
        <x:v>phase_deg</x:v>
      </x:c>
      <x:c r="C159" s="92" t="str">
        <x:v>0.002814975860069069</x:v>
      </x:c>
      <x:c r="D159" s="92" t="str">
        <x:v>3.214439007301931e-05</x:v>
      </x:c>
      <x:c r="E159" s="92" t="str">
        <x:v>5e-05</x:v>
      </x:c>
      <x:c r="F159" s="68" t="str">
        <x:v>通过</x:v>
      </x:c>
    </x:row>
    <x:row r="160">
      <x:c r="A160" s="68" t="str">
        <x:v>CASE_520_LS_P5</x:v>
      </x:c>
      <x:c r="B160" s="68" t="str">
        <x:v>active_power</x:v>
      </x:c>
      <x:c r="C160" s="92" t="str">
        <x:v>2.3641360678422485e-06</x:v>
      </x:c>
      <x:c r="D160" s="92" t="str">
        <x:v>2.0116686453551386e-05</x:v>
      </x:c>
      <x:c r="E160" s="92" t="str">
        <x:v>5e-05</x:v>
      </x:c>
      <x:c r="F160" s="68" t="str">
        <x:v>通过</x:v>
      </x:c>
    </x:row>
    <x:row r="161">
      <x:c r="A161" s="68" t="str">
        <x:v>CASE_520_LS_P5</x:v>
      </x:c>
      <x:c r="B161" s="68" t="str">
        <x:v>reflection_proxy</x:v>
      </x:c>
      <x:c r="C161" s="92" t="str">
        <x:v>2.697233904258578e-05</x:v>
      </x:c>
      <x:c r="D161" s="92" t="str">
        <x:v>2.7563351799323973e-05</x:v>
      </x:c>
      <x:c r="E161" s="92" t="str">
        <x:v>5e-05</x:v>
      </x:c>
      <x:c r="F161" s="68" t="str">
        <x:v>通过</x:v>
      </x:c>
    </x:row>
    <x:row r="162">
      <x:c r="A162" s="68" t="str">
        <x:v>CASE_520_LS_P5</x:v>
      </x:c>
      <x:c r="B162" s="68" t="str">
        <x:v>transducer_vpp</x:v>
      </x:c>
      <x:c r="C162" s="92" t="str">
        <x:v>0.0029359770319956624</x:v>
      </x:c>
      <x:c r="D162" s="92" t="str">
        <x:v>1.6350838031275387e-05</x:v>
      </x:c>
      <x:c r="E162" s="92" t="str">
        <x:v>5e-05</x:v>
      </x:c>
      <x:c r="F162" s="68" t="str">
        <x:v>通过</x:v>
      </x:c>
    </x:row>
    <x:row r="163">
      <x:c r="A163" s="68" t="str">
        <x:v>CASE_520_LS_P5</x:v>
      </x:c>
      <x:c r="B163" s="68" t="str">
        <x:v>transducer_current_peak</x:v>
      </x:c>
      <x:c r="C163" s="92" t="str">
        <x:v>5.312588108579569e-08</x:v>
      </x:c>
      <x:c r="D163" s="92" t="str">
        <x:v>1.1162200406862504e-05</x:v>
      </x:c>
      <x:c r="E163" s="92" t="str">
        <x:v>5e-05</x:v>
      </x:c>
      <x:c r="F163" s="68" t="str">
        <x:v>通过</x:v>
      </x:c>
    </x:row>
    <x:row r="164">
      <x:c r="A164" s="68" t="str">
        <x:v>CASE_520_LS_P5</x:v>
      </x:c>
      <x:c r="B164" s="68" t="str">
        <x:v>motional_current_peak</x:v>
      </x:c>
      <x:c r="C164" s="92" t="str">
        <x:v>5.125607555143269e-08</x:v>
      </x:c>
      <x:c r="D164" s="92" t="str">
        <x:v>1.057236972478093e-05</x:v>
      </x:c>
      <x:c r="E164" s="92" t="str">
        <x:v>5e-05</x:v>
      </x:c>
      <x:c r="F164" s="68" t="str">
        <x:v>通过</x:v>
      </x:c>
    </x:row>
    <x:row r="165">
      <x:c r="A165" s="68" t="str">
        <x:v>CASE_520_LS_P5</x:v>
      </x:c>
      <x:c r="B165" s="68" t="str">
        <x:v>source_current_peak</x:v>
      </x:c>
      <x:c r="C165" s="92" t="str">
        <x:v>2.037721738096243e-06</x:v>
      </x:c>
      <x:c r="D165" s="92" t="str">
        <x:v>1.638366240598951e-05</x:v>
      </x:c>
      <x:c r="E165" s="92" t="str">
        <x:v>5e-05</x:v>
      </x:c>
      <x:c r="F165" s="68" t="str">
        <x:v>通过</x:v>
      </x:c>
    </x:row>
    <x:row r="166">
      <x:c r="A166" s="68" t="str">
        <x:v>CASE_520_LS_P5</x:v>
      </x:c>
      <x:c r="B166" s="68" t="str">
        <x:v>matching_loss</x:v>
      </x:c>
      <x:c r="C166" s="92" t="str">
        <x:v>1.876343020096316e-06</x:v>
      </x:c>
      <x:c r="D166" s="92" t="str">
        <x:v>3.275607498242467e-05</x:v>
      </x:c>
      <x:c r="E166" s="92" t="str">
        <x:v>5e-05</x:v>
      </x:c>
      <x:c r="F166" s="68" t="str">
        <x:v>通过</x:v>
      </x:c>
    </x:row>
    <x:row r="167">
      <x:c r="A167" s="68" t="str">
        <x:v>CASE_530_LS_P10</x:v>
      </x:c>
      <x:c r="B167" s="68" t="str">
        <x:v>zin_real</x:v>
      </x:c>
      <x:c r="C167" s="92" t="str">
        <x:v>0.0010006469331003132</x:v>
      </x:c>
      <x:c r="D167" s="92" t="str">
        <x:v>1.7266922270431497e-05</x:v>
      </x:c>
      <x:c r="E167" s="92" t="str">
        <x:v>5e-05</x:v>
      </x:c>
      <x:c r="F167" s="68" t="str">
        <x:v>通过</x:v>
      </x:c>
    </x:row>
    <x:row r="168">
      <x:c r="A168" s="68" t="str">
        <x:v>CASE_530_LS_P10</x:v>
      </x:c>
      <x:c r="B168" s="68" t="str">
        <x:v>zin_imag</x:v>
      </x:c>
      <x:c r="C168" s="92" t="str">
        <x:v>3.293426729555904e-06</x:v>
      </x:c>
      <x:c r="D168" s="92" t="str">
        <x:v>1.492465227423845e-08</x:v>
      </x:c>
      <x:c r="E168" s="92" t="str">
        <x:v>5e-05</x:v>
      </x:c>
      <x:c r="F168" s="68" t="str">
        <x:v>通过</x:v>
      </x:c>
    </x:row>
    <x:row r="169">
      <x:c r="A169" s="68" t="str">
        <x:v>CASE_530_LS_P10</x:v>
      </x:c>
      <x:c r="B169" s="68" t="str">
        <x:v>zin_mag</x:v>
      </x:c>
      <x:c r="C169" s="92" t="str">
        <x:v>0.0010001464071240918</x:v>
      </x:c>
      <x:c r="D169" s="92" t="str">
        <x:v>4.529302739339048e-06</x:v>
      </x:c>
      <x:c r="E169" s="92" t="str">
        <x:v>5e-05</x:v>
      </x:c>
      <x:c r="F169" s="68" t="str">
        <x:v>通过</x:v>
      </x:c>
    </x:row>
    <x:row r="170">
      <x:c r="A170" s="68" t="str">
        <x:v>CASE_530_LS_P10</x:v>
      </x:c>
      <x:c r="B170" s="68" t="str">
        <x:v>phase_deg</x:v>
      </x:c>
      <x:c r="C170" s="92" t="str">
        <x:v>0.0031653017954411666</x:v>
      </x:c>
      <x:c r="D170" s="92" t="str">
        <x:v>3.600534029466917e-05</x:v>
      </x:c>
      <x:c r="E170" s="92" t="str">
        <x:v>5e-05</x:v>
      </x:c>
      <x:c r="F170" s="68" t="str">
        <x:v>通过</x:v>
      </x:c>
    </x:row>
    <x:row r="171">
      <x:c r="A171" s="68" t="str">
        <x:v>CASE_530_LS_P10</x:v>
      </x:c>
      <x:c r="B171" s="68" t="str">
        <x:v>active_power</x:v>
      </x:c>
      <x:c r="C171" s="92" t="str">
        <x:v>1.4304229442180239e-06</x:v>
      </x:c>
      <x:c r="D171" s="92" t="str">
        <x:v>1.5367959127487512e-05</x:v>
      </x:c>
      <x:c r="E171" s="92" t="str">
        <x:v>5e-05</x:v>
      </x:c>
      <x:c r="F171" s="68" t="str">
        <x:v>通过</x:v>
      </x:c>
    </x:row>
    <x:row r="172">
      <x:c r="A172" s="68" t="str">
        <x:v>CASE_530_LS_P10</x:v>
      </x:c>
      <x:c r="B172" s="68" t="str">
        <x:v>reflection_proxy</x:v>
      </x:c>
      <x:c r="C172" s="92" t="str">
        <x:v>2.8448018333460112e-05</x:v>
      </x:c>
      <x:c r="D172" s="92" t="str">
        <x:v>2.8898071008663593e-05</x:v>
      </x:c>
      <x:c r="E172" s="92" t="str">
        <x:v>5e-05</x:v>
      </x:c>
      <x:c r="F172" s="68" t="str">
        <x:v>通过</x:v>
      </x:c>
    </x:row>
    <x:row r="173">
      <x:c r="A173" s="68" t="str">
        <x:v>CASE_530_LS_P10</x:v>
      </x:c>
      <x:c r="B173" s="68" t="str">
        <x:v>transducer_vpp</x:v>
      </x:c>
      <x:c r="C173" s="92" t="str">
        <x:v>0.0031775745030131475</x:v>
      </x:c>
      <x:c r="D173" s="92" t="str">
        <x:v>1.68447839744021e-05</x:v>
      </x:c>
      <x:c r="E173" s="92" t="str">
        <x:v>5e-05</x:v>
      </x:c>
      <x:c r="F173" s="68" t="str">
        <x:v>通过</x:v>
      </x:c>
    </x:row>
    <x:row r="174">
      <x:c r="A174" s="68" t="str">
        <x:v>CASE_530_LS_P10</x:v>
      </x:c>
      <x:c r="B174" s="68" t="str">
        <x:v>transducer_current_peak</x:v>
      </x:c>
      <x:c r="C174" s="92" t="str">
        <x:v>4.0522314088877603e-08</x:v>
      </x:c>
      <x:c r="D174" s="92" t="str">
        <x:v>9.607960930846004e-06</x:v>
      </x:c>
      <x:c r="E174" s="92" t="str">
        <x:v>5e-05</x:v>
      </x:c>
      <x:c r="F174" s="68" t="str">
        <x:v>通过</x:v>
      </x:c>
    </x:row>
    <x:row r="175">
      <x:c r="A175" s="68" t="str">
        <x:v>CASE_530_LS_P10</x:v>
      </x:c>
      <x:c r="B175" s="68" t="str">
        <x:v>motional_current_peak</x:v>
      </x:c>
      <x:c r="C175" s="92" t="str">
        <x:v>3.401908905877743e-08</x:v>
      </x:c>
      <x:c r="D175" s="92" t="str">
        <x:v>7.884670464004266e-06</x:v>
      </x:c>
      <x:c r="E175" s="92" t="str">
        <x:v>5e-05</x:v>
      </x:c>
      <x:c r="F175" s="68" t="str">
        <x:v>通过</x:v>
      </x:c>
    </x:row>
    <x:row r="176">
      <x:c r="A176" s="68" t="str">
        <x:v>CASE_530_LS_P10</x:v>
      </x:c>
      <x:c r="B176" s="68" t="str">
        <x:v>source_current_peak</x:v>
      </x:c>
      <x:c r="C176" s="92" t="str">
        <x:v>2.1529247076212954e-06</x:v>
      </x:c>
      <x:c r="D176" s="92" t="str">
        <x:v>1.686259099435352e-05</x:v>
      </x:c>
      <x:c r="E176" s="92" t="str">
        <x:v>5e-05</x:v>
      </x:c>
      <x:c r="F176" s="68" t="str">
        <x:v>通过</x:v>
      </x:c>
    </x:row>
    <x:row r="177">
      <x:c r="A177" s="68" t="str">
        <x:v>CASE_530_LS_P10</x:v>
      </x:c>
      <x:c r="B177" s="68" t="str">
        <x:v>matching_loss</x:v>
      </x:c>
      <x:c r="C177" s="92" t="str">
        <x:v>2.1325426857454755e-06</x:v>
      </x:c>
      <x:c r="D177" s="92" t="str">
        <x:v>3.372350235803368e-05</x:v>
      </x:c>
      <x:c r="E177" s="92" t="str">
        <x:v>5e-05</x:v>
      </x:c>
      <x:c r="F177" s="68" t="str">
        <x:v>通过</x:v>
      </x:c>
    </x:row>
    <x:row r="178">
      <x:c r="A178" s="68" t="str">
        <x:v>CASE_610_CP_M2</x:v>
      </x:c>
      <x:c r="B178" s="68" t="str">
        <x:v>zin_real</x:v>
      </x:c>
      <x:c r="C178" s="92" t="str">
        <x:v>0.0010006734238459103</x:v>
      </x:c>
      <x:c r="D178" s="92" t="str">
        <x:v>1.6874249067404872e-05</x:v>
      </x:c>
      <x:c r="E178" s="92" t="str">
        <x:v>5e-05</x:v>
      </x:c>
      <x:c r="F178" s="68" t="str">
        <x:v>通过</x:v>
      </x:c>
    </x:row>
    <x:row r="179">
      <x:c r="A179" s="68" t="str">
        <x:v>CASE_610_CP_M2</x:v>
      </x:c>
      <x:c r="B179" s="68" t="str">
        <x:v>zin_imag</x:v>
      </x:c>
      <x:c r="C179" s="92" t="str">
        <x:v>3.428280510142656e-06</x:v>
      </x:c>
      <x:c r="D179" s="92" t="str">
        <x:v>1.8856380136634497e-08</x:v>
      </x:c>
      <x:c r="E179" s="92" t="str">
        <x:v>5e-05</x:v>
      </x:c>
      <x:c r="F179" s="68" t="str">
        <x:v>通过</x:v>
      </x:c>
    </x:row>
    <x:row r="180">
      <x:c r="A180" s="68" t="str">
        <x:v>CASE_610_CP_M2</x:v>
      </x:c>
      <x:c r="B180" s="68" t="str">
        <x:v>zin_mag</x:v>
      </x:c>
      <x:c r="C180" s="92" t="str">
        <x:v>0.0010004610441729511</x:v>
      </x:c>
      <x:c r="D180" s="92" t="str">
        <x:v>5.4982053130594095e-06</x:v>
      </x:c>
      <x:c r="E180" s="92" t="str">
        <x:v>5e-05</x:v>
      </x:c>
      <x:c r="F180" s="68" t="str">
        <x:v>通过</x:v>
      </x:c>
    </x:row>
    <x:row r="181">
      <x:c r="A181" s="68" t="str">
        <x:v>CASE_610_CP_M2</x:v>
      </x:c>
      <x:c r="B181" s="68" t="str">
        <x:v>phase_deg</x:v>
      </x:c>
      <x:c r="C181" s="92" t="str">
        <x:v>0.0025875615042210143</x:v>
      </x:c>
      <x:c r="D181" s="92" t="str">
        <x:v>2.951696999425397e-05</x:v>
      </x:c>
      <x:c r="E181" s="92" t="str">
        <x:v>5e-05</x:v>
      </x:c>
      <x:c r="F181" s="68" t="str">
        <x:v>通过</x:v>
      </x:c>
    </x:row>
    <x:row r="182">
      <x:c r="A182" s="68" t="str">
        <x:v>CASE_610_CP_M2</x:v>
      </x:c>
      <x:c r="B182" s="68" t="str">
        <x:v>active_power</x:v>
      </x:c>
      <x:c r="C182" s="92" t="str">
        <x:v>2.6051310601793443e-06</x:v>
      </x:c>
      <x:c r="D182" s="92" t="str">
        <x:v>2.0970135679229344e-05</x:v>
      </x:c>
      <x:c r="E182" s="92" t="str">
        <x:v>5e-05</x:v>
      </x:c>
      <x:c r="F182" s="68" t="str">
        <x:v>通过</x:v>
      </x:c>
    </x:row>
    <x:row r="183">
      <x:c r="A183" s="68" t="str">
        <x:v>CASE_610_CP_M2</x:v>
      </x:c>
      <x:c r="B183" s="68" t="str">
        <x:v>reflection_proxy</x:v>
      </x:c>
      <x:c r="C183" s="92" t="str">
        <x:v>2.5806680933659898e-05</x:v>
      </x:c>
      <x:c r="D183" s="92" t="str">
        <x:v>2.6349998766422226e-05</x:v>
      </x:c>
      <x:c r="E183" s="92" t="str">
        <x:v>5e-05</x:v>
      </x:c>
      <x:c r="F183" s="68" t="str">
        <x:v>通过</x:v>
      </x:c>
    </x:row>
    <x:row r="184">
      <x:c r="A184" s="68" t="str">
        <x:v>CASE_610_CP_M2</x:v>
      </x:c>
      <x:c r="B184" s="68" t="str">
        <x:v>transducer_vpp</x:v>
      </x:c>
      <x:c r="C184" s="92" t="str">
        <x:v>0.002792478198585968</x:v>
      </x:c>
      <x:c r="D184" s="92" t="str">
        <x:v>1.5980839913739056e-05</x:v>
      </x:c>
      <x:c r="E184" s="92" t="str">
        <x:v>5e-05</x:v>
      </x:c>
      <x:c r="F184" s="68" t="str">
        <x:v>通过</x:v>
      </x:c>
    </x:row>
    <x:row r="185">
      <x:c r="A185" s="68" t="str">
        <x:v>CASE_610_CP_M2</x:v>
      </x:c>
      <x:c r="B185" s="68" t="str">
        <x:v>transducer_current_peak</x:v>
      </x:c>
      <x:c r="C185" s="92" t="str">
        <x:v>6.239742935364168e-08</x:v>
      </x:c>
      <x:c r="D185" s="92" t="str">
        <x:v>1.2104680449034202e-05</x:v>
      </x:c>
      <x:c r="E185" s="92" t="str">
        <x:v>5e-05</x:v>
      </x:c>
      <x:c r="F185" s="68" t="str">
        <x:v>通过</x:v>
      </x:c>
    </x:row>
    <x:row r="186">
      <x:c r="A186" s="68" t="str">
        <x:v>CASE_610_CP_M2</x:v>
      </x:c>
      <x:c r="B186" s="68" t="str">
        <x:v>motional_current_peak</x:v>
      </x:c>
      <x:c r="C186" s="92" t="str">
        <x:v>5.656931452956149e-08</x:v>
      </x:c>
      <x:c r="D186" s="92" t="str">
        <x:v>1.1348847238179306e-05</x:v>
      </x:c>
      <x:c r="E186" s="92" t="str">
        <x:v>5e-05</x:v>
      </x:c>
      <x:c r="F186" s="68" t="str">
        <x:v>通过</x:v>
      </x:c>
    </x:row>
    <x:row r="187">
      <x:c r="A187" s="68" t="str">
        <x:v>CASE_610_CP_M2</x:v>
      </x:c>
      <x:c r="B187" s="68" t="str">
        <x:v>source_current_peak</x:v>
      </x:c>
      <x:c r="C187" s="92" t="str">
        <x:v>1.94361156881373e-06</x:v>
      </x:c>
      <x:c r="D187" s="92" t="str">
        <x:v>1.595671291245326e-05</x:v>
      </x:c>
      <x:c r="E187" s="92" t="str">
        <x:v>5e-05</x:v>
      </x:c>
      <x:c r="F187" s="68" t="str">
        <x:v>通过</x:v>
      </x:c>
    </x:row>
    <x:row r="188">
      <x:c r="A188" s="68" t="str">
        <x:v>CASE_610_CP_M2</x:v>
      </x:c>
      <x:c r="B188" s="68" t="str">
        <x:v>matching_loss</x:v>
      </x:c>
      <x:c r="C188" s="92" t="str">
        <x:v>1.668410803540299e-06</x:v>
      </x:c>
      <x:c r="D188" s="92" t="str">
        <x:v>3.1886555002481275e-05</x:v>
      </x:c>
      <x:c r="E188" s="92" t="str">
        <x:v>5e-05</x:v>
      </x:c>
      <x:c r="F188" s="68" t="str">
        <x:v>通过</x:v>
      </x:c>
    </x:row>
    <x:row r="189">
      <x:c r="A189" s="68" t="str">
        <x:v>CASE_620_CP_M5</x:v>
      </x:c>
      <x:c r="B189" s="68" t="str">
        <x:v>zin_real</x:v>
      </x:c>
      <x:c r="C189" s="92" t="str">
        <x:v>0.001000716317104633</x:v>
      </x:c>
      <x:c r="D189" s="92" t="str">
        <x:v>1.5978324441565602e-05</x:v>
      </x:c>
      <x:c r="E189" s="92" t="str">
        <x:v>5e-05</x:v>
      </x:c>
      <x:c r="F189" s="68" t="str">
        <x:v>通过</x:v>
      </x:c>
    </x:row>
    <x:row r="190">
      <x:c r="A190" s="68" t="str">
        <x:v>CASE_620_CP_M5</x:v>
      </x:c>
      <x:c r="B190" s="68" t="str">
        <x:v>zin_imag</x:v>
      </x:c>
      <x:c r="C190" s="92" t="str">
        <x:v>3.646620296393621e-06</x:v>
      </x:c>
      <x:c r="D190" s="92" t="str">
        <x:v>1.761388482361024e-08</x:v>
      </x:c>
      <x:c r="E190" s="92" t="str">
        <x:v>5e-05</x:v>
      </x:c>
      <x:c r="F190" s="68" t="str">
        <x:v>通过</x:v>
      </x:c>
    </x:row>
    <x:row r="191">
      <x:c r="A191" s="68" t="str">
        <x:v>CASE_620_CP_M5</x:v>
      </x:c>
      <x:c r="B191" s="68" t="str">
        <x:v>zin_mag</x:v>
      </x:c>
      <x:c r="C191" s="92" t="str">
        <x:v>0.0010002640651265438</x:v>
      </x:c>
      <x:c r="D191" s="92" t="str">
        <x:v>4.8283519979481675e-06</x:v>
      </x:c>
      <x:c r="E191" s="92" t="str">
        <x:v>5e-05</x:v>
      </x:c>
      <x:c r="F191" s="68" t="str">
        <x:v>通过</x:v>
      </x:c>
    </x:row>
    <x:row r="192">
      <x:c r="A192" s="68" t="str">
        <x:v>CASE_620_CP_M5</x:v>
      </x:c>
      <x:c r="B192" s="68" t="str">
        <x:v>phase_deg</x:v>
      </x:c>
      <x:c r="C192" s="92" t="str">
        <x:v>0.003079470731854883</x:v>
      </x:c>
      <x:c r="D192" s="92" t="str">
        <x:v>3.501726149075183e-05</x:v>
      </x:c>
      <x:c r="E192" s="92" t="str">
        <x:v>5e-05</x:v>
      </x:c>
      <x:c r="F192" s="68" t="str">
        <x:v>通过</x:v>
      </x:c>
    </x:row>
    <x:row r="193">
      <x:c r="A193" s="68" t="str">
        <x:v>CASE_620_CP_M5</x:v>
      </x:c>
      <x:c r="B193" s="68" t="str">
        <x:v>active_power</x:v>
      </x:c>
      <x:c r="C193" s="92" t="str">
        <x:v>2.2954820130122178e-06</x:v>
      </x:c>
      <x:c r="D193" s="92" t="str">
        <x:v>1.9492357770793323e-05</x:v>
      </x:c>
      <x:c r="E193" s="92" t="str">
        <x:v>5e-05</x:v>
      </x:c>
      <x:c r="F193" s="68" t="str">
        <x:v>通过</x:v>
      </x:c>
    </x:row>
    <x:row r="194">
      <x:c r="A194" s="68" t="str">
        <x:v>CASE_620_CP_M5</x:v>
      </x:c>
      <x:c r="B194" s="68" t="str">
        <x:v>reflection_proxy</x:v>
      </x:c>
      <x:c r="C194" s="92" t="str">
        <x:v>2.7922512964018154e-05</x:v>
      </x:c>
      <x:c r="D194" s="92" t="str">
        <x:v>2.8383814668434582e-05</x:v>
      </x:c>
      <x:c r="E194" s="92" t="str">
        <x:v>5e-05</x:v>
      </x:c>
      <x:c r="F194" s="68" t="str">
        <x:v>通过</x:v>
      </x:c>
    </x:row>
    <x:row r="195">
      <x:c r="A195" s="68" t="str">
        <x:v>CASE_620_CP_M5</x:v>
      </x:c>
      <x:c r="B195" s="68" t="str">
        <x:v>transducer_vpp</x:v>
      </x:c>
      <x:c r="C195" s="92" t="str">
        <x:v>0.003080611964378477</x:v>
      </x:c>
      <x:c r="D195" s="92" t="str">
        <x:v>1.669046537482771e-05</x:v>
      </x:c>
      <x:c r="E195" s="92" t="str">
        <x:v>5e-05</x:v>
      </x:c>
      <x:c r="F195" s="68" t="str">
        <x:v>通过</x:v>
      </x:c>
    </x:row>
    <x:row r="196">
      <x:c r="A196" s="68" t="str">
        <x:v>CASE_620_CP_M5</x:v>
      </x:c>
      <x:c r="B196" s="68" t="str">
        <x:v>transducer_current_peak</x:v>
      </x:c>
      <x:c r="C196" s="92" t="str">
        <x:v>5.356227438229472e-08</x:v>
      </x:c>
      <x:c r="D196" s="92" t="str">
        <x:v>1.0603920119625033e-05</x:v>
      </x:c>
      <x:c r="E196" s="92" t="str">
        <x:v>5e-05</x:v>
      </x:c>
      <x:c r="F196" s="68" t="str">
        <x:v>通过</x:v>
      </x:c>
    </x:row>
    <x:row r="197">
      <x:c r="A197" s="68" t="str">
        <x:v>CASE_620_CP_M5</x:v>
      </x:c>
      <x:c r="B197" s="68" t="str">
        <x:v>motional_current_peak</x:v>
      </x:c>
      <x:c r="C197" s="92" t="str">
        <x:v>4.9508915273867304e-08</x:v>
      </x:c>
      <x:c r="D197" s="92" t="str">
        <x:v>1.0201491059898988e-05</x:v>
      </x:c>
      <x:c r="E197" s="92" t="str">
        <x:v>5e-05</x:v>
      </x:c>
      <x:c r="F197" s="68" t="str">
        <x:v>通过</x:v>
      </x:c>
    </x:row>
    <x:row r="198">
      <x:c r="A198" s="68" t="str">
        <x:v>CASE_620_CP_M5</x:v>
      </x:c>
      <x:c r="B198" s="68" t="str">
        <x:v>source_current_peak</x:v>
      </x:c>
      <x:c r="C198" s="92" t="str">
        <x:v>2.1106116964153543e-06</x:v>
      </x:c>
      <x:c r="D198" s="92" t="str">
        <x:v>1.6682411951949953e-05</x:v>
      </x:c>
      <x:c r="E198" s="92" t="str">
        <x:v>5e-05</x:v>
      </x:c>
      <x:c r="F198" s="68" t="str">
        <x:v>通过</x:v>
      </x:c>
    </x:row>
    <x:row r="199">
      <x:c r="A199" s="68" t="str">
        <x:v>CASE_620_CP_M5</x:v>
      </x:c>
      <x:c r="B199" s="68" t="str">
        <x:v>matching_loss</x:v>
      </x:c>
      <x:c r="C199" s="92" t="str">
        <x:v>1.882985928423897e-06</x:v>
      </x:c>
      <x:c r="D199" s="92" t="str">
        <x:v>3.335683000679728e-05</x:v>
      </x:c>
      <x:c r="E199" s="92" t="str">
        <x:v>5e-05</x:v>
      </x:c>
      <x:c r="F199" s="68" t="str">
        <x:v>通过</x:v>
      </x:c>
    </x:row>
    <x:row r="200">
      <x:c r="A200" s="68" t="str">
        <x:v>CASE_630_CP_M10</x:v>
      </x:c>
      <x:c r="B200" s="68" t="str">
        <x:v>zin_real</x:v>
      </x:c>
      <x:c r="C200" s="92" t="str">
        <x:v>0.0010007975031065541</x:v>
      </x:c>
      <x:c r="D200" s="92" t="str">
        <x:v>1.4519303404226196e-05</x:v>
      </x:c>
      <x:c r="E200" s="92" t="str">
        <x:v>5e-05</x:v>
      </x:c>
      <x:c r="F200" s="68" t="str">
        <x:v>通过</x:v>
      </x:c>
    </x:row>
    <x:row r="201">
      <x:c r="A201" s="68" t="str">
        <x:v>CASE_630_CP_M10</x:v>
      </x:c>
      <x:c r="B201" s="68" t="str">
        <x:v>zin_imag</x:v>
      </x:c>
      <x:c r="C201" s="92" t="str">
        <x:v>4.059947556811494e-06</x:v>
      </x:c>
      <x:c r="D201" s="92" t="str">
        <x:v>1.6062905609252666e-08</x:v>
      </x:c>
      <x:c r="E201" s="92" t="str">
        <x:v>5e-05</x:v>
      </x:c>
      <x:c r="F201" s="68" t="str">
        <x:v>通过</x:v>
      </x:c>
    </x:row>
    <x:row r="202">
      <x:c r="A202" s="68" t="str">
        <x:v>CASE_630_CP_M10</x:v>
      </x:c>
      <x:c r="B202" s="68" t="str">
        <x:v>zin_mag</x:v>
      </x:c>
      <x:c r="C202" s="92" t="str">
        <x:v>0.001000112741746051</x:v>
      </x:c>
      <x:c r="D202" s="92" t="str">
        <x:v>3.955143929873836e-06</x:v>
      </x:c>
      <x:c r="E202" s="92" t="str">
        <x:v>5e-05</x:v>
      </x:c>
      <x:c r="F202" s="68" t="str">
        <x:v>通过</x:v>
      </x:c>
    </x:row>
    <x:row r="203">
      <x:c r="A203" s="68" t="str">
        <x:v>CASE_630_CP_M10</x:v>
      </x:c>
      <x:c r="B203" s="68" t="str">
        <x:v>phase_deg</x:v>
      </x:c>
      <x:c r="C203" s="92" t="str">
        <x:v>0.0035574950977874664</x:v>
      </x:c>
      <x:c r="D203" s="92" t="str">
        <x:v>4.028702558638249e-05</x:v>
      </x:c>
      <x:c r="E203" s="92" t="str">
        <x:v>5e-05</x:v>
      </x:c>
      <x:c r="F203" s="68" t="str">
        <x:v>通过</x:v>
      </x:c>
    </x:row>
    <x:row r="204">
      <x:c r="A204" s="68" t="str">
        <x:v>CASE_630_CP_M10</x:v>
      </x:c>
      <x:c r="B204" s="68" t="str">
        <x:v>active_power</x:v>
      </x:c>
      <x:c r="C204" s="92" t="str">
        <x:v>1.3240847678286372e-06</x:v>
      </x:c>
      <x:c r="D204" s="92" t="str">
        <x:v>1.4138400535297303e-05</x:v>
      </x:c>
      <x:c r="E204" s="92" t="str">
        <x:v>5e-05</x:v>
      </x:c>
      <x:c r="F204" s="68" t="str">
        <x:v>通过</x:v>
      </x:c>
    </x:row>
    <x:row r="205">
      <x:c r="A205" s="68" t="str">
        <x:v>CASE_630_CP_M10</x:v>
      </x:c>
      <x:c r="B205" s="68" t="str">
        <x:v>reflection_proxy</x:v>
      </x:c>
      <x:c r="C205" s="92" t="str">
        <x:v>2.9505150665687374e-05</x:v>
      </x:c>
      <x:c r="D205" s="92" t="str">
        <x:v>2.98394436397639e-05</x:v>
      </x:c>
      <x:c r="E205" s="92" t="str">
        <x:v>5e-05</x:v>
      </x:c>
      <x:c r="F205" s="68" t="str">
        <x:v>通过</x:v>
      </x:c>
    </x:row>
    <x:row r="206">
      <x:c r="A206" s="68" t="str">
        <x:v>CASE_630_CP_M10</x:v>
      </x:c>
      <x:c r="B206" s="68" t="str">
        <x:v>transducer_vpp</x:v>
      </x:c>
      <x:c r="C206" s="92" t="str">
        <x:v>0.003344379785602314</x:v>
      </x:c>
      <x:c r="D206" s="92" t="str">
        <x:v>1.717091261518796e-05</x:v>
      </x:c>
      <x:c r="E206" s="92" t="str">
        <x:v>5e-05</x:v>
      </x:c>
      <x:c r="F206" s="68" t="str">
        <x:v>通过</x:v>
      </x:c>
    </x:row>
    <x:row r="207">
      <x:c r="A207" s="68" t="str">
        <x:v>CASE_630_CP_M10</x:v>
      </x:c>
      <x:c r="B207" s="68" t="str">
        <x:v>transducer_current_peak</x:v>
      </x:c>
      <x:c r="C207" s="92" t="str">
        <x:v>3.324019265740774e-08</x:v>
      </x:c>
      <x:c r="D207" s="92" t="str">
        <x:v>7.400685515870546e-06</x:v>
      </x:c>
      <x:c r="E207" s="92" t="str">
        <x:v>5e-05</x:v>
      </x:c>
      <x:c r="F207" s="68" t="str">
        <x:v>通过</x:v>
      </x:c>
    </x:row>
    <x:row r="208">
      <x:c r="A208" s="68" t="str">
        <x:v>CASE_630_CP_M10</x:v>
      </x:c>
      <x:c r="B208" s="68" t="str">
        <x:v>motional_current_peak</x:v>
      </x:c>
      <x:c r="C208" s="92" t="str">
        <x:v>3.1370926883989014e-08</x:v>
      </x:c>
      <x:c r="D208" s="92" t="str">
        <x:v>7.248607739140415e-06</x:v>
      </x:c>
      <x:c r="E208" s="92" t="str">
        <x:v>5e-05</x:v>
      </x:c>
      <x:c r="F208" s="68" t="str">
        <x:v>通过</x:v>
      </x:c>
    </x:row>
    <x:row r="209">
      <x:c r="A209" s="68" t="str">
        <x:v>CASE_630_CP_M10</x:v>
      </x:c>
      <x:c r="B209" s="68" t="str">
        <x:v>source_current_peak</x:v>
      </x:c>
      <x:c r="C209" s="92" t="str">
        <x:v>2.233137495588622e-06</x:v>
      </x:c>
      <x:c r="D209" s="92" t="str">
        <x:v>1.7174838828190975e-05</x:v>
      </x:c>
      <x:c r="E209" s="92" t="str">
        <x:v>5e-05</x:v>
      </x:c>
      <x:c r="F209" s="68" t="str">
        <x:v>通过</x:v>
      </x:c>
    </x:row>
    <x:row r="210">
      <x:c r="A210" s="68" t="str">
        <x:v>CASE_630_CP_M10</x:v>
      </x:c>
      <x:c r="B210" s="68" t="str">
        <x:v>matching_loss</x:v>
      </x:c>
      <x:c r="C210" s="92" t="str">
        <x:v>2.0479394606878754e-06</x:v>
      </x:c>
      <x:c r="D210" s="92" t="str">
        <x:v>3.4348535339608584e-05</x:v>
      </x:c>
      <x:c r="E210" s="92" t="str">
        <x:v>5e-05</x:v>
      </x:c>
      <x:c r="F210" s="68" t="str">
        <x:v>通过</x:v>
      </x:c>
    </x:row>
    <x:row r="211">
      <x:c r="A211" s="68" t="str">
        <x:v>CASE_720_Q50</x:v>
      </x:c>
      <x:c r="B211" s="68" t="str">
        <x:v>zin_real</x:v>
      </x:c>
      <x:c r="C211" s="92" t="str">
        <x:v>0.001000646970599206</x:v>
      </x:c>
      <x:c r="D211" s="92" t="str">
        <x:v>1.5562245750562723e-05</x:v>
      </x:c>
      <x:c r="E211" s="92" t="str">
        <x:v>5e-05</x:v>
      </x:c>
      <x:c r="F211" s="68" t="str">
        <x:v>通过</x:v>
      </x:c>
    </x:row>
    <x:row r="212">
      <x:c r="A212" s="68" t="str">
        <x:v>CASE_720_Q50</x:v>
      </x:c>
      <x:c r="B212" s="68" t="str">
        <x:v>zin_imag</x:v>
      </x:c>
      <x:c r="C212" s="92" t="str">
        <x:v>3.293426694028767e-06</x:v>
      </x:c>
      <x:c r="D212" s="92" t="str">
        <x:v>1.9860631983386425e-08</x:v>
      </x:c>
      <x:c r="E212" s="92" t="str">
        <x:v>5e-05</x:v>
      </x:c>
      <x:c r="F212" s="68" t="str">
        <x:v>通过</x:v>
      </x:c>
    </x:row>
    <x:row r="213">
      <x:c r="A213" s="68" t="str">
        <x:v>CASE_720_Q50</x:v>
      </x:c>
      <x:c r="B213" s="68" t="str">
        <x:v>zin_mag</x:v>
      </x:c>
      <x:c r="C213" s="92" t="str">
        <x:v>0.0010006388420791268</x:v>
      </x:c>
      <x:c r="D213" s="92" t="str">
        <x:v>6.011435118575273e-06</x:v>
      </x:c>
      <x:c r="E213" s="92" t="str">
        <x:v>5e-05</x:v>
      </x:c>
      <x:c r="F213" s="68" t="str">
        <x:v>通过</x:v>
      </x:c>
    </x:row>
    <x:row r="214">
      <x:c r="A214" s="68" t="str">
        <x:v>CASE_720_Q50</x:v>
      </x:c>
      <x:c r="B214" s="68" t="str">
        <x:v>phase_deg</x:v>
      </x:c>
      <x:c r="C214" s="92" t="str">
        <x:v>0.0015178730366969262</x:v>
      </x:c>
      <x:c r="D214" s="92" t="str">
        <x:v>1.7853675203120232e-05</x:v>
      </x:c>
      <x:c r="E214" s="92" t="str">
        <x:v>5e-05</x:v>
      </x:c>
      <x:c r="F214" s="68" t="str">
        <x:v>通过</x:v>
      </x:c>
    </x:row>
    <x:row r="215">
      <x:c r="A215" s="68" t="str">
        <x:v>CASE_720_Q50</x:v>
      </x:c>
      <x:c r="B215" s="68" t="str">
        <x:v>active_power</x:v>
      </x:c>
      <x:c r="C215" s="92" t="str">
        <x:v>1.9995967559527372e-06</x:v>
      </x:c>
      <x:c r="D215" s="92" t="str">
        <x:v>1.8169605057364337e-05</x:v>
      </x:c>
      <x:c r="E215" s="92" t="str">
        <x:v>5e-05</x:v>
      </x:c>
      <x:c r="F215" s="68" t="str">
        <x:v>通过</x:v>
      </x:c>
    </x:row>
    <x:row r="216">
      <x:c r="A216" s="68" t="str">
        <x:v>CASE_720_Q50</x:v>
      </x:c>
      <x:c r="B216" s="68" t="str">
        <x:v>reflection_proxy</x:v>
      </x:c>
      <x:c r="C216" s="92" t="str">
        <x:v>1.8962050275295184e-05</x:v>
      </x:c>
      <x:c r="D216" s="92" t="str">
        <x:v>1.9892362258203874e-05</x:v>
      </x:c>
      <x:c r="E216" s="92" t="str">
        <x:v>5e-05</x:v>
      </x:c>
      <x:c r="F216" s="68" t="str">
        <x:v>通过</x:v>
      </x:c>
    </x:row>
    <x:row r="217">
      <x:c r="A217" s="68" t="str">
        <x:v>CASE_720_Q50</x:v>
      </x:c>
      <x:c r="B217" s="68" t="str">
        <x:v>transducer_vpp</x:v>
      </x:c>
      <x:c r="C217" s="92" t="str">
        <x:v>0.002059360964580037</x:v>
      </x:c>
      <x:c r="D217" s="92" t="str">
        <x:v>1.3750117493760893e-05</x:v>
      </x:c>
      <x:c r="E217" s="92" t="str">
        <x:v>5e-05</x:v>
      </x:c>
      <x:c r="F217" s="68" t="str">
        <x:v>通过</x:v>
      </x:c>
    </x:row>
    <x:row r="218">
      <x:c r="A218" s="68" t="str">
        <x:v>CASE_720_Q50</x:v>
      </x:c>
      <x:c r="B218" s="68" t="str">
        <x:v>transducer_current_peak</x:v>
      </x:c>
      <x:c r="C218" s="92" t="str">
        <x:v>5.3017127309845646e-08</x:v>
      </x:c>
      <x:c r="D218" s="92" t="str">
        <x:v>1.112373574195221e-05</x:v>
      </x:c>
      <x:c r="E218" s="92" t="str">
        <x:v>5e-05</x:v>
      </x:c>
      <x:c r="F218" s="68" t="str">
        <x:v>通过</x:v>
      </x:c>
    </x:row>
    <x:row r="219">
      <x:c r="A219" s="68" t="str">
        <x:v>CASE_720_Q50</x:v>
      </x:c>
      <x:c r="B219" s="68" t="str">
        <x:v>motional_current_peak</x:v>
      </x:c>
      <x:c r="C219" s="92" t="str">
        <x:v>4.758885670339691e-08</x:v>
      </x:c>
      <x:c r="D219" s="92" t="str">
        <x:v>1.0143592767025078e-05</x:v>
      </x:c>
      <x:c r="E219" s="92" t="str">
        <x:v>5e-05</x:v>
      </x:c>
      <x:c r="F219" s="68" t="str">
        <x:v>通过</x:v>
      </x:c>
    </x:row>
    <x:row r="220">
      <x:c r="A220" s="68" t="str">
        <x:v>CASE_720_Q50</x:v>
      </x:c>
      <x:c r="B220" s="68" t="str">
        <x:v>source_current_peak</x:v>
      </x:c>
      <x:c r="C220" s="92" t="str">
        <x:v>1.4507648189721056e-06</x:v>
      </x:c>
      <x:c r="D220" s="92" t="str">
        <x:v>1.3717227484753963e-05</x:v>
      </x:c>
      <x:c r="E220" s="92" t="str">
        <x:v>5e-05</x:v>
      </x:c>
      <x:c r="F220" s="68" t="str">
        <x:v>通过</x:v>
      </x:c>
    </x:row>
    <x:row r="221">
      <x:c r="A221" s="68" t="str">
        <x:v>CASE_720_Q50</x:v>
      </x:c>
      <x:c r="B221" s="68" t="str">
        <x:v>matching_loss</x:v>
      </x:c>
      <x:c r="C221" s="92" t="str">
        <x:v>2.161177988568852e-06</x:v>
      </x:c>
      <x:c r="D221" s="92" t="str">
        <x:v>2.7392765940385184e-05</x:v>
      </x:c>
      <x:c r="E221" s="92" t="str">
        <x:v>5e-05</x:v>
      </x:c>
      <x:c r="F221" s="68" t="str">
        <x:v>通过</x:v>
      </x:c>
    </x:row>
    <x:row r="222">
      <x:c r="A222" s="68" t="str">
        <x:v>CASE_730_Q20</x:v>
      </x:c>
      <x:c r="B222" s="68" t="str">
        <x:v>zin_real</x:v>
      </x:c>
      <x:c r="C222" s="92" t="str">
        <x:v>0.001000646928822846</x:v>
      </x:c>
      <x:c r="D222" s="92" t="str">
        <x:v>1.1709005939772792e-05</x:v>
      </x:c>
      <x:c r="E222" s="92" t="str">
        <x:v>5e-05</x:v>
      </x:c>
      <x:c r="F222" s="68" t="str">
        <x:v>通过</x:v>
      </x:c>
    </x:row>
    <x:row r="223">
      <x:c r="A223" s="68" t="str">
        <x:v>CASE_730_Q20</x:v>
      </x:c>
      <x:c r="B223" s="68" t="str">
        <x:v>zin_imag</x:v>
      </x:c>
      <x:c r="C223" s="92" t="str">
        <x:v>3.2934267011341944e-06</x:v>
      </x:c>
      <x:c r="D223" s="92" t="str">
        <x:v>1.986063202623489e-08</x:v>
      </x:c>
      <x:c r="E223" s="92" t="str">
        <x:v>5e-05</x:v>
      </x:c>
      <x:c r="F223" s="68" t="str">
        <x:v>通过</x:v>
      </x:c>
    </x:row>
    <x:row r="224">
      <x:c r="A224" s="68" t="str">
        <x:v>CASE_730_Q20</x:v>
      </x:c>
      <x:c r="B224" s="68" t="str">
        <x:v>zin_mag</x:v>
      </x:c>
      <x:c r="C224" s="92" t="str">
        <x:v>0.0010006410850067482</x:v>
      </x:c>
      <x:c r="D224" s="92" t="str">
        <x:v>5.899700968256848e-06</x:v>
      </x:c>
      <x:c r="E224" s="92" t="str">
        <x:v>5e-05</x:v>
      </x:c>
      <x:c r="F224" s="68" t="str">
        <x:v>通过</x:v>
      </x:c>
    </x:row>
    <x:row r="225">
      <x:c r="A225" s="68" t="str">
        <x:v>CASE_730_Q20</x:v>
      </x:c>
      <x:c r="B225" s="68" t="str">
        <x:v>phase_deg</x:v>
      </x:c>
      <x:c r="C225" s="92" t="str">
        <x:v>0.0007584804355005303</x:v>
      </x:c>
      <x:c r="D225" s="92" t="str">
        <x:v>9.739356681802884e-06</x:v>
      </x:c>
      <x:c r="E225" s="92" t="str">
        <x:v>5e-05</x:v>
      </x:c>
      <x:c r="F225" s="68" t="str">
        <x:v>通过</x:v>
      </x:c>
    </x:row>
    <x:row r="226">
      <x:c r="A226" s="68" t="str">
        <x:v>CASE_730_Q20</x:v>
      </x:c>
      <x:c r="B226" s="68" t="str">
        <x:v>active_power</x:v>
      </x:c>
      <x:c r="C226" s="92" t="str">
        <x:v>1.1605174802392648e-06</x:v>
      </x:c>
      <x:c r="D226" s="92" t="str">
        <x:v>1.4811145725197115e-05</x:v>
      </x:c>
      <x:c r="E226" s="92" t="str">
        <x:v>5e-05</x:v>
      </x:c>
      <x:c r="F226" s="68" t="str">
        <x:v>通过</x:v>
      </x:c>
    </x:row>
    <x:row r="227">
      <x:c r="A227" s="68" t="str">
        <x:v>CASE_730_Q20</x:v>
      </x:c>
      <x:c r="B227" s="68" t="str">
        <x:v>reflection_proxy</x:v>
      </x:c>
      <x:c r="C227" s="92" t="str">
        <x:v>1.0794197913027714e-05</x:v>
      </x:c>
      <x:c r="D227" s="92" t="str">
        <x:v>1.210257009399727e-05</x:v>
      </x:c>
      <x:c r="E227" s="92" t="str">
        <x:v>5e-05</x:v>
      </x:c>
      <x:c r="F227" s="68" t="str">
        <x:v>通过</x:v>
      </x:c>
    </x:row>
    <x:row r="228">
      <x:c r="A228" s="68" t="str">
        <x:v>CASE_730_Q20</x:v>
      </x:c>
      <x:c r="B228" s="68" t="str">
        <x:v>transducer_vpp</x:v>
      </x:c>
      <x:c r="C228" s="92" t="str">
        <x:v>0.0012413086511173788</x:v>
      </x:c>
      <x:c r="D228" s="92" t="str">
        <x:v>1.0702031873800118e-05</x:v>
      </x:c>
      <x:c r="E228" s="92" t="str">
        <x:v>5e-05</x:v>
      </x:c>
      <x:c r="F228" s="68" t="str">
        <x:v>通过</x:v>
      </x:c>
    </x:row>
    <x:row r="229">
      <x:c r="A229" s="68" t="str">
        <x:v>CASE_730_Q20</x:v>
      </x:c>
      <x:c r="B229" s="68" t="str">
        <x:v>transducer_current_peak</x:v>
      </x:c>
      <x:c r="C229" s="92" t="str">
        <x:v>3.3628478929900035e-08</x:v>
      </x:c>
      <x:c r="D229" s="92" t="str">
        <x:v>8.410272830062552e-06</x:v>
      </x:c>
      <x:c r="E229" s="92" t="str">
        <x:v>5e-05</x:v>
      </x:c>
      <x:c r="F229" s="68" t="str">
        <x:v>通过</x:v>
      </x:c>
    </x:row>
    <x:row r="230">
      <x:c r="A230" s="68" t="str">
        <x:v>CASE_730_Q20</x:v>
      </x:c>
      <x:c r="B230" s="68" t="str">
        <x:v>motional_current_peak</x:v>
      </x:c>
      <x:c r="C230" s="92" t="str">
        <x:v>3.093435613308465e-08</x:v>
      </x:c>
      <x:c r="D230" s="92" t="str">
        <x:v>7.814380739462985e-06</x:v>
      </x:c>
      <x:c r="E230" s="92" t="str">
        <x:v>5e-05</x:v>
      </x:c>
      <x:c r="F230" s="68" t="str">
        <x:v>通过</x:v>
      </x:c>
    </x:row>
    <x:row r="231">
      <x:c r="A231" s="68" t="str">
        <x:v>CASE_730_Q20</x:v>
      </x:c>
      <x:c r="B231" s="68" t="str">
        <x:v>source_current_peak</x:v>
      </x:c>
      <x:c r="C231" s="92" t="str">
        <x:v>8.758937072583795e-07</x:v>
      </x:c>
      <x:c r="D231" s="92" t="str">
        <x:v>1.0677337520180028e-05</x:v>
      </x:c>
      <x:c r="E231" s="92" t="str">
        <x:v>5e-05</x:v>
      </x:c>
      <x:c r="F231" s="68" t="str">
        <x:v>通过</x:v>
      </x:c>
    </x:row>
    <x:row r="232">
      <x:c r="A232" s="69" t="str">
        <x:v>CASE_730_Q20</x:v>
      </x:c>
      <x:c r="B232" s="69" t="str">
        <x:v>matching_loss</x:v>
      </x:c>
      <x:c r="C232" s="93" t="str">
        <x:v>2.5310201133554866e-06</x:v>
      </x:c>
      <x:c r="D232" s="93" t="str">
        <x:v>2.132973294072108e-05</x:v>
      </x:c>
      <x:c r="E232" s="93" t="str">
        <x:v>5e-05</x:v>
      </x:c>
      <x:c r="F232" s="69" t="str">
        <x:v>通过</x:v>
      </x:c>
    </x:row>
    <x:row r="233">
      <x:c r="C233" s="94"/>
      <x:c r="D233" s="94"/>
      <x:c r="E233" s="94"/>
    </x:row>
    <x:row r="234">
      <x:c r="C234" s="94"/>
      <x:c r="D234" s="94"/>
      <x:c r="E234" s="94"/>
    </x:row>
    <x:row r="235">
      <x:c r="C235" s="94"/>
      <x:c r="D235" s="94"/>
      <x:c r="E235" s="94"/>
    </x:row>
    <x:row r="236">
      <x:c r="C236" s="94"/>
      <x:c r="D236" s="94"/>
      <x:c r="E236" s="94"/>
    </x:row>
    <x:row r="237">
      <x:c r="C237" s="94"/>
      <x:c r="D237" s="94"/>
      <x:c r="E237" s="94"/>
    </x:row>
    <x:row r="238">
      <x:c r="C238" s="94"/>
      <x:c r="D238" s="94"/>
      <x:c r="E238" s="94"/>
    </x:row>
    <x:row r="239">
      <x:c r="C239" s="94"/>
      <x:c r="D239" s="94"/>
      <x:c r="E239" s="94"/>
    </x:row>
    <x:row r="240">
      <x:c r="C240" s="94"/>
      <x:c r="D240" s="94"/>
      <x:c r="E240" s="94"/>
    </x:row>
    <x:row r="241">
      <x:c r="C241" s="94"/>
      <x:c r="D241" s="94"/>
      <x:c r="E241" s="94"/>
    </x:row>
    <x:row r="242">
      <x:c r="C242" s="94"/>
      <x:c r="D242" s="94"/>
      <x:c r="E242" s="94"/>
    </x:row>
    <x:row r="243">
      <x:c r="C243" s="94"/>
      <x:c r="D243" s="94"/>
      <x:c r="E243" s="94"/>
    </x:row>
    <x:row r="244">
      <x:c r="C244" s="94"/>
      <x:c r="D244" s="94"/>
      <x:c r="E244" s="94"/>
    </x:row>
    <x:row r="245">
      <x:c r="C245" s="94"/>
      <x:c r="D245" s="94"/>
      <x:c r="E245" s="94"/>
    </x:row>
    <x:row r="246">
      <x:c r="C246" s="94"/>
      <x:c r="D246" s="94"/>
      <x:c r="E246" s="94"/>
    </x:row>
    <x:row r="247">
      <x:c r="C247" s="94"/>
      <x:c r="D247" s="94"/>
      <x:c r="E247" s="94"/>
    </x:row>
    <x:row r="248">
      <x:c r="C248" s="94"/>
      <x:c r="D248" s="94"/>
      <x:c r="E248" s="94"/>
    </x:row>
    <x:row r="249">
      <x:c r="C249" s="94"/>
      <x:c r="D249" s="94"/>
      <x:c r="E249" s="94"/>
    </x:row>
    <x:row r="250">
      <x:c r="C250" s="94"/>
      <x:c r="D250" s="94"/>
      <x:c r="E250" s="94"/>
    </x:row>
  </x:sheetData>
  <x:conditionalFormatting sqref="F2:F250">
    <x:cfRule type="cellIs" dxfId="0" priority="1" operator="notEqual">
      <x:formula>"通过"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32" customHeight="1">
      <x:c r="A1" s="8" t="str">
        <x:v>0.9 MHz虚拟BVD单因素扰动实验</x:v>
      </x:c>
      <x:c r="B1" s="8"/>
    </x:row>
    <x:row r="3">
      <x:c r="A3" s="26" t="str">
        <x:v>项目边界</x:v>
      </x:c>
      <x:c r="B3" s="27" t="str">
        <x:v>假设BVD电学模型；不是实测换能器、声功率或CTO疗效</x:v>
      </x:c>
    </x:row>
    <x:row r="4">
      <x:c r="A4" s="28" t="str">
        <x:v>实际仿真</x:v>
      </x:c>
      <x:c r="B4" s="29" t="str">
        <x:v>21个场景均由本机LTspice批处理运行，最终数据来自RAW文件</x:v>
      </x:c>
    </x:row>
    <x:row r="5">
      <x:c r="A5" s="28" t="str">
        <x:v>单因素原则</x:v>
      </x:c>
      <x:c r="B5" s="29" t="str">
        <x:v>每个非基准场景只主动改变C0、Rm、Cm(fs)、Rs、Ls、Cp或Q中的一个</x:v>
      </x:c>
    </x:row>
    <x:row r="6">
      <x:c r="A6" s="28" t="str">
        <x:v>C0等级</x:v>
      </x:c>
      <x:c r="B6" s="29" t="str">
        <x:v>+10%、+20%、+30%</x:v>
      </x:c>
    </x:row>
    <x:row r="7">
      <x:c r="A7" s="28" t="str">
        <x:v>Rm等级</x:v>
      </x:c>
      <x:c r="B7" s="29" t="str">
        <x:v>+15%、+30%、+50%</x:v>
      </x:c>
    </x:row>
    <x:row r="8">
      <x:c r="A8" s="28" t="str">
        <x:v>fs等级</x:v>
      </x:c>
      <x:c r="B8" s="29" t="str">
        <x:v>-1%、-3%、-5%；仅改变Cm，Lm保持不变</x:v>
      </x:c>
    </x:row>
    <x:row r="9">
      <x:c r="A9" s="28" t="str">
        <x:v>源阻抗</x:v>
      </x:c>
      <x:c r="B9" s="29" t="str">
        <x:v>Rs +5%、+10%、+20%</x:v>
      </x:c>
    </x:row>
    <x:row r="10">
      <x:c r="A10" s="28" t="str">
        <x:v>串联电感</x:v>
      </x:c>
      <x:c r="B10" s="29" t="str">
        <x:v>Ls +2%、+5%、+10%</x:v>
      </x:c>
    </x:row>
    <x:row r="11">
      <x:c r="A11" s="28" t="str">
        <x:v>并联电容</x:v>
      </x:c>
      <x:c r="B11" s="29" t="str">
        <x:v>Cp -2%、-5%、-10%</x:v>
      </x:c>
    </x:row>
    <x:row r="12">
      <x:c r="A12" s="28" t="str">
        <x:v>电感损耗</x:v>
      </x:c>
      <x:c r="B12" s="29" t="str">
        <x:v>Q=100为基准；扰动为Q=50和Q=20</x:v>
      </x:c>
    </x:row>
    <x:row r="13">
      <x:c r="A13" s="28" t="str">
        <x:v>功率与峰宽</x:v>
      </x:c>
      <x:c r="B13" s="29" t="str">
        <x:v>P=re(V(n_in)*conj(I(Rmot)))；趋势采用功率FWHM，同时保留95%峰宽</x:v>
      </x:c>
    </x:row>
    <x:row r="14">
      <x:c r="A14" s="28" t="str">
        <x:v>电流口径</x:v>
      </x:c>
      <x:c r="B14" s="29" t="str">
        <x:v>5/5.5/8 mA peak约束用于BVD端总电流；源侧电流只记录</x:v>
      </x:c>
    </x:row>
    <x:row r="15">
      <x:c r="A15" s="30" t="str">
        <x:v>相位口径</x:v>
      </x:c>
      <x:c r="B15" s="31" t="str">
        <x:v>输入阻抗相位使用Cartesian带符号结果</x:v>
      </x:c>
    </x:row>
    <x:row r="17">
      <x:c r="A17" s="48" t="str">
        <x:v>审核顺序</x:v>
      </x:c>
      <x:c r="B17" s="49" t="str">
        <x:v>操作</x:v>
      </x:c>
    </x:row>
    <x:row r="18">
      <x:c r="A18" s="50" t="str">
        <x:v>1</x:v>
      </x:c>
      <x:c r="B18" s="29" t="str">
        <x:v>参数登记筛选主动改变项=1；每个非基准case应恰好一行</x:v>
      </x:c>
    </x:row>
    <x:row r="19">
      <x:c r="A19" s="50" t="str">
        <x:v>2</x:v>
      </x:c>
      <x:c r="B19" s="29" t="str">
        <x:v>交叉验证的231行审核结论应全部为通过</x:v>
      </x:c>
    </x:row>
    <x:row r="20">
      <x:c r="A20" s="50" t="str">
        <x:v>3</x:v>
      </x:c>
      <x:c r="B20" s="29" t="str">
        <x:v>固定0p9MHz审核阻抗、相位、功率、反射代理、电压与电流</x:v>
      </x:c>
    </x:row>
    <x:row r="21">
      <x:c r="A21" s="50" t="str">
        <x:v>4</x:v>
      </x:c>
      <x:c r="B21" s="29" t="str">
        <x:v>特征汇总审核峰值频率、峰高、FWHM与95%峰宽</x:v>
      </x:c>
    </x:row>
    <x:row r="22">
      <x:c r="A22" s="50" t="str">
        <x:v>5</x:v>
      </x:c>
      <x:c r="B22" s="29" t="str">
        <x:v>趋势复核中的相对变化公式应与趋势表方向一致</x:v>
      </x:c>
    </x:row>
    <x:row r="23">
      <x:c r="A23" s="50" t="str">
        <x:v>6</x:v>
      </x:c>
      <x:c r="B23" s="29" t="str">
        <x:v>分因素曲线用于观察完整频率响应，不只看单个数字</x:v>
      </x:c>
    </x:row>
    <x:row r="24">
      <x:c r="A24" s="51" t="str">
        <x:v>结论边界</x:v>
      </x:c>
      <x:c r="B24" s="31" t="str">
        <x:v>趋势只适用于当前参数范围和固定低通L型匹配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12" t="str">
        <x:v>峰位、峰高、峰宽与固定工作点的公式复核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</x:row>
    <x:row r="3">
      <x:c r="A3" s="122" t="str">
        <x:v>case_id</x:v>
      </x:c>
      <x:c r="B3" s="123" t="str">
        <x:v>扰动参数</x:v>
      </x:c>
      <x:c r="C3" s="123" t="str">
        <x:v>扰动等级</x:v>
      </x:c>
      <x:c r="D3" s="123" t="str">
        <x:v>峰值频率_MHz</x:v>
      </x:c>
      <x:c r="E3" s="123" t="str">
        <x:v>峰位偏移_kHz</x:v>
      </x:c>
      <x:c r="F3" s="123" t="str">
        <x:v>峰高_mW</x:v>
      </x:c>
      <x:c r="G3" s="123" t="str">
        <x:v>峰高变化</x:v>
      </x:c>
      <x:c r="H3" s="123" t="str">
        <x:v>FWHM_kHz</x:v>
      </x:c>
      <x:c r="I3" s="123" t="str">
        <x:v>峰宽变化</x:v>
      </x:c>
      <x:c r="J3" s="123" t="str">
        <x:v>0.9MHz功率_mW</x:v>
      </x:c>
      <x:c r="K3" s="124" t="str">
        <x:v>固定功率下降</x:v>
      </x:c>
    </x:row>
    <x:row r="4">
      <x:c r="A4" s="42" t="str">
        <x:f>'特征汇总'!A2</x:f>
        <x:v>CASE_000_BASELINE</x:v>
      </x:c>
      <x:c r="B4" s="125" t="str">
        <x:f>'特征汇总'!B2</x:f>
        <x:v>基准</x:v>
      </x:c>
      <x:c r="C4" s="125" t="str">
        <x:f>'特征汇总'!C2</x:f>
        <x:v>基准</x:v>
      </x:c>
      <x:c r="D4" s="132" t="n">
        <x:f>'特征汇总'!D2/1000000</x:f>
        <x:v>0.90015</x:v>
      </x:c>
      <x:c r="E4" s="136" t="n">
        <x:f>('特征汇总'!D2-'特征汇总'!$D$2)/1000</x:f>
        <x:v>0</x:v>
      </x:c>
      <x:c r="F4" s="136" t="n">
        <x:f>'特征汇总'!E2*1000</x:f>
        <x:v>125.00823036552438</x:v>
      </x:c>
      <x:c r="G4" s="140" t="n">
        <x:f>'特征汇总'!E2/'特征汇总'!$E$2-1</x:f>
        <x:v>0</x:v>
      </x:c>
      <x:c r="H4" s="136" t="n">
        <x:f>'特征汇总'!F2/1000</x:f>
        <x:v>32.2345655125978</x:v>
      </x:c>
      <x:c r="I4" s="140" t="n">
        <x:f>'特征汇总'!F2/'特征汇总'!$F$2-1</x:f>
        <x:v>0</x:v>
      </x:c>
      <x:c r="J4" s="136" t="n">
        <x:f>'特征汇总'!T2*1000</x:f>
        <x:v>124.99766359518713</x:v>
      </x:c>
      <x:c r="K4" s="144" t="n">
        <x:f>1-'特征汇总'!T2/'特征汇总'!$T$2</x:f>
        <x:v>0</x:v>
      </x:c>
    </x:row>
    <x:row r="5">
      <x:c r="A5" s="42" t="str">
        <x:f>'特征汇总'!A3</x:f>
        <x:v>CASE_110_C0_P10</x:v>
      </x:c>
      <x:c r="B5" s="125" t="str">
        <x:f>'特征汇总'!B3</x:f>
        <x:v>C0</x:v>
      </x:c>
      <x:c r="C5" s="125" t="str">
        <x:f>'特征汇总'!C3</x:f>
        <x:v>+10%</x:v>
      </x:c>
      <x:c r="D5" s="132" t="n">
        <x:f>'特征汇总'!D3/1000000</x:f>
        <x:v>0.90025</x:v>
      </x:c>
      <x:c r="E5" s="136" t="n">
        <x:f>('特征汇总'!D3-'特征汇总'!$D$2)/1000</x:f>
        <x:v>0.1</x:v>
      </x:c>
      <x:c r="F5" s="136" t="n">
        <x:f>'特征汇总'!E3*1000</x:f>
        <x:v>125.0051993739338</x:v>
      </x:c>
      <x:c r="G5" s="140" t="n">
        <x:f>'特征汇总'!E3/'特征汇总'!$E$2-1</x:f>
        <x:v>-0.00002424633627495787</x:v>
      </x:c>
      <x:c r="H5" s="136" t="n">
        <x:f>'特征汇总'!F3/1000</x:f>
        <x:v>32.22298585509544</x:v>
      </x:c>
      <x:c r="I5" s="140" t="n">
        <x:f>'特征汇总'!F3/'特征汇总'!$F$2-1</x:f>
        <x:v>-0.00035923107131163867</x:v>
      </x:c>
      <x:c r="J5" s="136" t="n">
        <x:f>'特征汇总'!T3*1000</x:f>
        <x:v>124.98596602392018</x:v>
      </x:c>
      <x:c r="K5" s="144" t="n">
        <x:f>1-'特征汇总'!T3/'特征汇总'!$T$2</x:f>
        <x:v>0.00009358231930500782</x:v>
      </x:c>
    </x:row>
    <x:row r="6">
      <x:c r="A6" s="42" t="str">
        <x:f>'特征汇总'!A4</x:f>
        <x:v>CASE_120_C0_P20</x:v>
      </x:c>
      <x:c r="B6" s="125" t="str">
        <x:f>'特征汇总'!B4</x:f>
        <x:v>C0</x:v>
      </x:c>
      <x:c r="C6" s="125" t="str">
        <x:f>'特征汇总'!C4</x:f>
        <x:v>+20%</x:v>
      </x:c>
      <x:c r="D6" s="132" t="n">
        <x:f>'特征汇总'!D4/1000000</x:f>
        <x:v>0.9003</x:v>
      </x:c>
      <x:c r="E6" s="136" t="n">
        <x:f>('特征汇总'!D4-'特征汇总'!$D$2)/1000</x:f>
        <x:v>0.15</x:v>
      </x:c>
      <x:c r="F6" s="136" t="n">
        <x:f>'特征汇总'!E4*1000</x:f>
        <x:v>125.00093725850874</x:v>
      </x:c>
      <x:c r="G6" s="140" t="n">
        <x:f>'特征汇总'!E4/'特征汇总'!$E$2-1</x:f>
        <x:v>-0.00005834101478208176</x:v>
      </x:c>
      <x:c r="H6" s="136" t="n">
        <x:f>'特征汇总'!F4/1000</x:f>
        <x:v>32.20989765419811</x:v>
      </x:c>
      <x:c r="I6" s="140" t="n">
        <x:f>'特征汇总'!F4/'特征汇总'!$F$2-1</x:f>
        <x:v>-0.0007652610794472992</x:v>
      </x:c>
      <x:c r="J6" s="136" t="n">
        <x:f>'特征汇总'!T4*1000</x:f>
        <x:v>124.9703427068272</x:v>
      </x:c>
      <x:c r="K6" s="144" t="n">
        <x:f>1-'特征汇总'!T4/'特征汇总'!$T$2</x:f>
        <x:v>0.0002185711922457756</x:v>
      </x:c>
    </x:row>
    <x:row r="7">
      <x:c r="A7" s="42" t="str">
        <x:f>'特征汇总'!A5</x:f>
        <x:v>CASE_130_C0_P30</x:v>
      </x:c>
      <x:c r="B7" s="125" t="str">
        <x:f>'特征汇总'!B5</x:f>
        <x:v>C0</x:v>
      </x:c>
      <x:c r="C7" s="125" t="str">
        <x:f>'特征汇总'!C5</x:f>
        <x:v>+30%</x:v>
      </x:c>
      <x:c r="D7" s="132" t="n">
        <x:f>'特征汇总'!D5/1000000</x:f>
        <x:v>0.90035</x:v>
      </x:c>
      <x:c r="E7" s="136" t="n">
        <x:f>('特征汇总'!D5-'特征汇总'!$D$2)/1000</x:f>
        <x:v>0.2</x:v>
      </x:c>
      <x:c r="F7" s="136" t="n">
        <x:f>'特征汇总'!E5*1000</x:f>
        <x:v>124.99523070065314</x:v>
      </x:c>
      <x:c r="G7" s="140" t="n">
        <x:f>'特征汇总'!E5/'特征汇总'!$E$2-1</x:f>
        <x:v>-0.000103990471933324</x:v>
      </x:c>
      <x:c r="H7" s="136" t="n">
        <x:f>'特征汇总'!F5/1000</x:f>
        <x:v>32.19536095198314</x:v>
      </x:c>
      <x:c r="I7" s="140" t="n">
        <x:f>'特征汇总'!F5/'特征汇总'!$F$2-1</x:f>
        <x:v>-0.0012162273631184384</x:v>
      </x:c>
      <x:c r="J7" s="136" t="n">
        <x:f>'特征汇总'!T5*1000</x:f>
        <x:v>124.95079658872933</x:v>
      </x:c>
      <x:c r="K7" s="144" t="n">
        <x:f>1-'特征汇总'!T5/'特征汇总'!$T$2</x:f>
        <x:v>0.00037494305981256026</x:v>
      </x:c>
    </x:row>
    <x:row r="8">
      <x:c r="A8" s="42" t="str">
        <x:f>'特征汇总'!A6</x:f>
        <x:v>CASE_210_RM_P15</x:v>
      </x:c>
      <x:c r="B8" s="125" t="str">
        <x:f>'特征汇总'!B6</x:f>
        <x:v>Rm</x:v>
      </x:c>
      <x:c r="C8" s="125" t="str">
        <x:f>'特征汇总'!C6</x:f>
        <x:v>+15%</x:v>
      </x:c>
      <x:c r="D8" s="132" t="n">
        <x:f>'特征汇总'!D6/1000000</x:f>
        <x:v>0.9002</x:v>
      </x:c>
      <x:c r="E8" s="136" t="n">
        <x:f>('特征汇总'!D6-'特征汇总'!$D$2)/1000</x:f>
        <x:v>0.05</x:v>
      </x:c>
      <x:c r="F8" s="136" t="n">
        <x:f>'特征汇总'!E6*1000</x:f>
        <x:v>123.27528137414241</x:v>
      </x:c>
      <x:c r="G8" s="140" t="n">
        <x:f>'特征汇总'!E6/'特征汇总'!$E$2-1</x:f>
        <x:v>-0.013862679171721903</x:v>
      </x:c>
      <x:c r="H8" s="136" t="n">
        <x:f>'特征汇总'!F6/1000</x:f>
        <x:v>34.062398668632376</x:v>
      </x:c>
      <x:c r="I8" s="140" t="n">
        <x:f>'特征汇总'!F6/'特征汇总'!$F$2-1</x:f>
        <x:v>0.05670413504783345</x:v>
      </x:c>
      <x:c r="J8" s="136" t="n">
        <x:f>'特征汇总'!T6*1000</x:f>
        <x:v>123.26449233963555</x:v>
      </x:c>
      <x:c r="K8" s="144" t="n">
        <x:f>1-'特征汇总'!T6/'特征汇总'!$T$2</x:f>
        <x:v>0.013865629210195185</x:v>
      </x:c>
    </x:row>
    <x:row r="9">
      <x:c r="A9" s="42" t="str">
        <x:f>'特征汇总'!A7</x:f>
        <x:v>CASE_220_RM_P30</x:v>
      </x:c>
      <x:c r="B9" s="125" t="str">
        <x:f>'特征汇总'!B7</x:f>
        <x:v>Rm</x:v>
      </x:c>
      <x:c r="C9" s="125" t="str">
        <x:f>'特征汇总'!C7</x:f>
        <x:v>+30%</x:v>
      </x:c>
      <x:c r="D9" s="132" t="n">
        <x:f>'特征汇总'!D7/1000000</x:f>
        <x:v>0.9002</x:v>
      </x:c>
      <x:c r="E9" s="136" t="n">
        <x:f>('特征汇总'!D7-'特征汇总'!$D$2)/1000</x:f>
        <x:v>0.05</x:v>
      </x:c>
      <x:c r="F9" s="136" t="n">
        <x:f>'特征汇总'!E7*1000</x:f>
        <x:v>120.81718054315095</x:v>
      </x:c>
      <x:c r="G9" s="140" t="n">
        <x:f>'特征汇总'!E7/'特征汇总'!$E$2-1</x:f>
        <x:v>-0.033526191116527215</x:v>
      </x:c>
      <x:c r="H9" s="136" t="n">
        <x:f>'特征汇总'!F7/1000</x:f>
        <x:v>35.78979033787456</x:v>
      </x:c>
      <x:c r="I9" s="140" t="n">
        <x:f>'特征汇总'!F7/'特征汇总'!$F$2-1</x:f>
        <x:v>0.11029231412743323</x:v>
      </x:c>
      <x:c r="J9" s="136" t="n">
        <x:f>'特征汇总'!T7*1000</x:f>
        <x:v>120.80605347154211</x:v>
      </x:c>
      <x:c r="K9" s="144" t="n">
        <x:f>1-'特征汇总'!T7/'特征汇总'!$T$2</x:f>
        <x:v>0.03353350777195174</x:v>
      </x:c>
    </x:row>
    <x:row r="10">
      <x:c r="A10" s="42" t="str">
        <x:f>'特征汇总'!A8</x:f>
        <x:v>CASE_230_RM_P50</x:v>
      </x:c>
      <x:c r="B10" s="125" t="str">
        <x:f>'特征汇总'!B8</x:f>
        <x:v>Rm</x:v>
      </x:c>
      <x:c r="C10" s="125" t="str">
        <x:f>'特征汇总'!C8</x:f>
        <x:v>+50%</x:v>
      </x:c>
      <x:c r="D10" s="132" t="n">
        <x:f>'特征汇总'!D8/1000000</x:f>
        <x:v>0.9002</x:v>
      </x:c>
      <x:c r="E10" s="136" t="n">
        <x:f>('特征汇总'!D8-'特征汇总'!$D$2)/1000</x:f>
        <x:v>0.05</x:v>
      </x:c>
      <x:c r="F10" s="136" t="n">
        <x:f>'特征汇总'!E8*1000</x:f>
        <x:v>116.93752215416464</x:v>
      </x:c>
      <x:c r="G10" s="140" t="n">
        <x:f>'特征汇总'!E8/'特征汇总'!$E$2-1</x:f>
        <x:v>-0.06456141477853872</x:v>
      </x:c>
      <x:c r="H10" s="136" t="n">
        <x:f>'特征汇总'!F8/1000</x:f>
        <x:v>37.9481271820676</x:v>
      </x:c>
      <x:c r="I10" s="140" t="n">
        <x:f>'特征汇总'!F8/'特征汇总'!$F$2-1</x:f>
        <x:v>0.1772495325627037</x:v>
      </x:c>
      <x:c r="J10" s="136" t="n">
        <x:f>'特征汇总'!T8*1000</x:f>
        <x:v>116.92606353647766</x:v>
      </x:c>
      <x:c r="K10" s="144" t="n">
        <x:f>1-'特征汇总'!T8/'特征汇总'!$T$2</x:f>
        <x:v>0.06457400743784991</x:v>
      </x:c>
    </x:row>
    <x:row r="11">
      <x:c r="A11" s="42" t="str">
        <x:f>'特征汇总'!A9</x:f>
        <x:v>CASE_310_FS_M1</x:v>
      </x:c>
      <x:c r="B11" s="125" t="str">
        <x:f>'特征汇总'!B9</x:f>
        <x:v>fs</x:v>
      </x:c>
      <x:c r="C11" s="125" t="str">
        <x:f>'特征汇总'!C9</x:f>
        <x:v>-1%（仅改变Cm）</x:v>
      </x:c>
      <x:c r="D11" s="132" t="n">
        <x:f>'特征汇总'!D9/1000000</x:f>
        <x:v>0.8895</x:v>
      </x:c>
      <x:c r="E11" s="136" t="n">
        <x:f>('特征汇总'!D9-'特征汇总'!$D$2)/1000</x:f>
        <x:v>-10.65</x:v>
      </x:c>
      <x:c r="F11" s="136" t="n">
        <x:f>'特征汇总'!E9*1000</x:f>
        <x:v>124.00163973374198</x:v>
      </x:c>
      <x:c r="G11" s="140" t="n">
        <x:f>'特征汇总'!E9/'特征汇总'!$E$2-1</x:f>
        <x:v>-0.0080521948742025</x:v>
      </x:c>
      <x:c r="H11" s="136" t="n">
        <x:f>'特征汇总'!F9/1000</x:f>
        <x:v>31.428678060343373</x:v>
      </x:c>
      <x:c r="I11" s="140" t="n">
        <x:f>'特征汇总'!F9/'特征汇总'!$F$2-1</x:f>
        <x:v>-0.025000723274506864</x:v>
      </x:c>
      <x:c r="J11" s="136" t="n">
        <x:f>'特征汇总'!T9*1000</x:f>
        <x:v>92.66555836330093</x:v>
      </x:c>
      <x:c r="K11" s="144" t="n">
        <x:f>1-'特征汇总'!T9/'特征汇总'!$T$2</x:f>
        <x:v>0.25866167656217787</x:v>
      </x:c>
    </x:row>
    <x:row r="12">
      <x:c r="A12" s="42" t="str">
        <x:f>'特征汇总'!A10</x:f>
        <x:v>CASE_320_FS_M3</x:v>
      </x:c>
      <x:c r="B12" s="125" t="str">
        <x:f>'特征汇总'!B10</x:f>
        <x:v>fs</x:v>
      </x:c>
      <x:c r="C12" s="125" t="str">
        <x:f>'特征汇总'!C10</x:f>
        <x:v>-3%（仅改变Cm）</x:v>
      </x:c>
      <x:c r="D12" s="132" t="n">
        <x:f>'特征汇总'!D10/1000000</x:f>
        <x:v>0.8705</x:v>
      </x:c>
      <x:c r="E12" s="136" t="n">
        <x:f>('特征汇总'!D10-'特征汇总'!$D$2)/1000</x:f>
        <x:v>-29.65</x:v>
      </x:c>
      <x:c r="F12" s="136" t="n">
        <x:f>'特征汇总'!E10*1000</x:f>
        <x:v>113.12862206892564</x:v>
      </x:c>
      <x:c r="G12" s="140" t="n">
        <x:f>'特征汇总'!E10/'特征汇总'!$E$2-1</x:f>
        <x:v>-0.09503060927958695</x:v>
      </x:c>
      <x:c r="H12" s="136" t="n">
        <x:f>'特征汇总'!F10/1000</x:f>
        <x:v>26.248162862499477</x:v>
      </x:c>
      <x:c r="I12" s="140" t="n">
        <x:f>'特征汇总'!F10/'特征汇总'!$F$2-1</x:f>
        <x:v>-0.18571376889689217</x:v>
      </x:c>
      <x:c r="J12" s="136" t="n">
        <x:f>'特征汇总'!T10*1000</x:f>
        <x:v>30.20731699797772</x:v>
      </x:c>
      <x:c r="K12" s="144" t="n">
        <x:f>1-'特征汇总'!T10/'特征汇总'!$T$2</x:f>
        <x:v>0.7583369470344179</x:v>
      </x:c>
    </x:row>
    <x:row r="13">
      <x:c r="A13" s="42" t="str">
        <x:f>'特征汇总'!A11</x:f>
        <x:v>CASE_330_FS_M5</x:v>
      </x:c>
      <x:c r="B13" s="125" t="str">
        <x:f>'特征汇总'!B11</x:f>
        <x:v>fs</x:v>
      </x:c>
      <x:c r="C13" s="125" t="str">
        <x:f>'特征汇总'!C11</x:f>
        <x:v>-5%（仅改变Cm）</x:v>
      </x:c>
      <x:c r="D13" s="132" t="n">
        <x:f>'特征汇总'!D11/1000000</x:f>
        <x:v>0.8526</x:v>
      </x:c>
      <x:c r="E13" s="136" t="n">
        <x:f>('特征汇总'!D11-'特征汇总'!$D$2)/1000</x:f>
        <x:v>-47.55</x:v>
      </x:c>
      <x:c r="F13" s="136" t="n">
        <x:f>'特征汇总'!E11*1000</x:f>
        <x:v>93.32305487683689</x:v>
      </x:c>
      <x:c r="G13" s="140" t="n">
        <x:f>'特征汇总'!E11/'特征汇总'!$E$2-1</x:f>
        <x:v>-0.2534647150514806</x:v>
      </x:c>
      <x:c r="H13" s="136" t="n">
        <x:f>'特征汇总'!F11/1000</x:f>
        <x:v>21.85505179190391</x:v>
      </x:c>
      <x:c r="I13" s="140" t="n">
        <x:f>'特征汇总'!F11/'特征汇总'!$F$2-1</x:f>
        <x:v>-0.3219994920247149</x:v>
      </x:c>
      <x:c r="J13" s="136" t="n">
        <x:f>'特征汇总'!T11*1000</x:f>
        <x:v>13.05659173056967</x:v>
      </x:c>
      <x:c r="K13" s="144" t="n">
        <x:f>1-'特征汇总'!T11/'特征汇总'!$T$2</x:f>
        <x:v>0.8955453137679895</x:v>
      </x:c>
    </x:row>
    <x:row r="14">
      <x:c r="A14" s="42" t="str">
        <x:f>'特征汇总'!A12</x:f>
        <x:v>CASE_410_RS_P5</x:v>
      </x:c>
      <x:c r="B14" s="125" t="str">
        <x:f>'特征汇总'!B12</x:f>
        <x:v>Rs</x:v>
      </x:c>
      <x:c r="C14" s="125" t="str">
        <x:f>'特征汇总'!C12</x:f>
        <x:v>+5%</x:v>
      </x:c>
      <x:c r="D14" s="132" t="n">
        <x:f>'特征汇总'!D12/1000000</x:f>
        <x:v>0.9002</x:v>
      </x:c>
      <x:c r="E14" s="136" t="n">
        <x:f>('特征汇总'!D12-'特征汇总'!$D$2)/1000</x:f>
        <x:v>0.05</x:v>
      </x:c>
      <x:c r="F14" s="136" t="n">
        <x:f>'特征汇总'!E12*1000</x:f>
        <x:v>119.37460529914067</x:v>
      </x:c>
      <x:c r="G14" s="140" t="n">
        <x:f>'特征汇总'!E12/'特征汇总'!$E$2-1</x:f>
        <x:v>-0.04506603325165859</x:v>
      </x:c>
      <x:c r="H14" s="136" t="n">
        <x:f>'特征汇总'!F12/1000</x:f>
        <x:v>31.535186646115616</x:v>
      </x:c>
      <x:c r="I14" s="140" t="n">
        <x:f>'特征汇总'!F12/'特征汇总'!$F$2-1</x:f>
        <x:v>-0.021696550127497383</x:v>
      </x:c>
      <x:c r="J14" s="136" t="n">
        <x:f>'特征汇总'!T12*1000</x:f>
        <x:v>119.35798571279125</x:v>
      </x:c>
      <x:c r="K14" s="144" t="n">
        <x:f>1-'特征汇总'!T12/'特征汇总'!$T$2</x:f>
        <x:v>0.045118266375444804</x:v>
      </x:c>
    </x:row>
    <x:row r="15">
      <x:c r="A15" s="42" t="str">
        <x:f>'特征汇总'!A13</x:f>
        <x:v>CASE_420_RS_P10</x:v>
      </x:c>
      <x:c r="B15" s="125" t="str">
        <x:f>'特征汇总'!B13</x:f>
        <x:v>Rs</x:v>
      </x:c>
      <x:c r="C15" s="125" t="str">
        <x:f>'特征汇总'!C13</x:f>
        <x:v>+10%</x:v>
      </x:c>
      <x:c r="D15" s="132" t="n">
        <x:f>'特征汇总'!D13/1000000</x:f>
        <x:v>0.90025</x:v>
      </x:c>
      <x:c r="E15" s="136" t="n">
        <x:f>('特征汇总'!D13-'特征汇总'!$D$2)/1000</x:f>
        <x:v>0.1</x:v>
      </x:c>
      <x:c r="F15" s="136" t="n">
        <x:f>'特征汇总'!E13*1000</x:f>
        <x:v>114.11413216266868</x:v>
      </x:c>
      <x:c r="G15" s="140" t="n">
        <x:f>'特征汇总'!E13/'特征汇总'!$E$2-1</x:f>
        <x:v>-0.08714704760639636</x:v>
      </x:c>
      <x:c r="H15" s="136" t="n">
        <x:f>'特征汇总'!F13/1000</x:f>
        <x:v>30.881221800503553</x:v>
      </x:c>
      <x:c r="I15" s="140" t="n">
        <x:f>'特征汇总'!F13/'特征汇总'!$F$2-1</x:f>
        <x:v>-0.041984239296333326</x:v>
      </x:c>
      <x:c r="J15" s="136" t="n">
        <x:f>'特征汇总'!T13*1000</x:f>
        <x:v>114.09155105014688</x:v>
      </x:c>
      <x:c r="K15" s="144" t="n">
        <x:f>1-'特征汇总'!T13/'特征汇总'!$T$2</x:f>
        <x:v>0.08725053118080983</x:v>
      </x:c>
    </x:row>
    <x:row r="16">
      <x:c r="A16" s="42" t="str">
        <x:f>'特征汇总'!A14</x:f>
        <x:v>CASE_430_RS_P20</x:v>
      </x:c>
      <x:c r="B16" s="125" t="str">
        <x:f>'特征汇总'!B14</x:f>
        <x:v>Rs</x:v>
      </x:c>
      <x:c r="C16" s="125" t="str">
        <x:f>'特征汇总'!C14</x:f>
        <x:v>+20%</x:v>
      </x:c>
      <x:c r="D16" s="132" t="n">
        <x:f>'特征汇总'!D14/1000000</x:f>
        <x:v>0.9003</x:v>
      </x:c>
      <x:c r="E16" s="136" t="n">
        <x:f>('特征汇总'!D14-'特征汇总'!$D$2)/1000</x:f>
        <x:v>0.15</x:v>
      </x:c>
      <x:c r="F16" s="136" t="n">
        <x:f>'特征汇总'!E14*1000</x:f>
        <x:v>104.58665143664302</x:v>
      </x:c>
      <x:c r="G16" s="140" t="n">
        <x:f>'特征汇总'!E14/'特征汇总'!$E$2-1</x:f>
        <x:v>-0.16336187520748524</x:v>
      </x:c>
      <x:c r="H16" s="136" t="n">
        <x:f>'特征汇总'!F14/1000</x:f>
        <x:v>29.699678896381286</x:v>
      </x:c>
      <x:c r="I16" s="140" t="n">
        <x:f>'特征汇总'!F14/'特征汇总'!$F$2-1</x:f>
        <x:v>-0.07863877101820504</x:v>
      </x:c>
      <x:c r="J16" s="136" t="n">
        <x:f>'特征汇总'!T14*1000</x:f>
        <x:v>104.55292066506915</x:v>
      </x:c>
      <x:c r="K16" s="144" t="n">
        <x:f>1-'特征汇总'!T14/'特征汇总'!$T$2</x:f>
        <x:v>0.1635610005986159</x:v>
      </x:c>
    </x:row>
    <x:row r="17">
      <x:c r="A17" s="42" t="str">
        <x:f>'特征汇总'!A15</x:f>
        <x:v>CASE_510_LS_P2</x:v>
      </x:c>
      <x:c r="B17" s="125" t="str">
        <x:f>'特征汇总'!B15</x:f>
        <x:v>Ls</x:v>
      </x:c>
      <x:c r="C17" s="125" t="str">
        <x:f>'特征汇总'!C15</x:f>
        <x:v>+2%</x:v>
      </x:c>
      <x:c r="D17" s="132" t="n">
        <x:f>'特征汇总'!D15/1000000</x:f>
        <x:v>0.90195</x:v>
      </x:c>
      <x:c r="E17" s="136" t="n">
        <x:f>('特征汇总'!D15-'特征汇总'!$D$2)/1000</x:f>
        <x:v>1.8</x:v>
      </x:c>
      <x:c r="F17" s="136" t="n">
        <x:f>'特征汇总'!E15*1000</x:f>
        <x:v>124.0999359622441</x:v>
      </x:c>
      <x:c r="G17" s="140" t="n">
        <x:f>'特征汇总'!E15/'特征汇总'!$E$2-1</x:f>
        <x:v>-0.007265876819665618</x:v>
      </x:c>
      <x:c r="H17" s="136" t="n">
        <x:f>'特征汇总'!F15/1000</x:f>
        <x:v>31.72563078134181</x:v>
      </x:c>
      <x:c r="I17" s="140" t="n">
        <x:f>'特征汇总'!F15/'特征汇总'!$F$2-1</x:f>
        <x:v>-0.015788478087507718</x:v>
      </x:c>
      <x:c r="J17" s="136" t="n">
        <x:f>'特征汇总'!T15*1000</x:f>
        <x:v>122.55057994668347</x:v>
      </x:c>
      <x:c r="K17" s="144" t="n">
        <x:f>1-'特征汇总'!T15/'特征汇总'!$T$2</x:f>
        <x:v>0.019577035107061658</x:v>
      </x:c>
    </x:row>
    <x:row r="18">
      <x:c r="A18" s="42" t="str">
        <x:f>'特征汇总'!A16</x:f>
        <x:v>CASE_520_LS_P5</x:v>
      </x:c>
      <x:c r="B18" s="125" t="str">
        <x:f>'特征汇总'!B16</x:f>
        <x:v>Ls</x:v>
      </x:c>
      <x:c r="C18" s="125" t="str">
        <x:f>'特征汇总'!C16</x:f>
        <x:v>+5%</x:v>
      </x:c>
      <x:c r="D18" s="132" t="n">
        <x:f>'特征汇总'!D16/1000000</x:f>
        <x:v>0.90315</x:v>
      </x:c>
      <x:c r="E18" s="136" t="n">
        <x:f>('特征汇总'!D16-'特征汇总'!$D$2)/1000</x:f>
        <x:v>3</x:v>
      </x:c>
      <x:c r="F18" s="136" t="n">
        <x:f>'特征汇总'!E16*1000</x:f>
        <x:v>117.51895435981392</x:v>
      </x:c>
      <x:c r="G18" s="140" t="n">
        <x:f>'特征汇总'!E16/'特征汇总'!$E$2-1</x:f>
        <x:v>-0.0599102633787536</x:v>
      </x:c>
      <x:c r="H18" s="136" t="n">
        <x:f>'特征汇总'!F16/1000</x:f>
        <x:v>28.420314515518957</x:v>
      </x:c>
      <x:c r="I18" s="140" t="n">
        <x:f>'特征汇总'!F16/'特征汇总'!$F$2-1</x:f>
        <x:v>-0.11832797918706761</x:v>
      </x:c>
      <x:c r="J18" s="136" t="n">
        <x:f>'特征汇总'!T16*1000</x:f>
        <x:v>112.10167806044385</x:v>
      </x:c>
      <x:c r="K18" s="144" t="n">
        <x:f>1-'特征汇总'!T16/'特征汇总'!$T$2</x:f>
        <x:v>0.10316981264952085</x:v>
      </x:c>
    </x:row>
    <x:row r="19">
      <x:c r="A19" s="42" t="str">
        <x:f>'特征汇总'!A17</x:f>
        <x:v>CASE_530_LS_P10</x:v>
      </x:c>
      <x:c r="B19" s="125" t="str">
        <x:f>'特征汇总'!B17</x:f>
        <x:v>Ls</x:v>
      </x:c>
      <x:c r="C19" s="125" t="str">
        <x:f>'特征汇总'!C17</x:f>
        <x:v>+10%</x:v>
      </x:c>
      <x:c r="D19" s="132" t="n">
        <x:f>'特征汇总'!D17/1000000</x:f>
        <x:v>0.9031</x:v>
      </x:c>
      <x:c r="E19" s="136" t="n">
        <x:f>('特征汇总'!D17-'特征汇总'!$D$2)/1000</x:f>
        <x:v>2.95</x:v>
      </x:c>
      <x:c r="F19" s="136" t="n">
        <x:f>'特征汇总'!E17*1000</x:f>
        <x:v>93.07688309359916</x:v>
      </x:c>
      <x:c r="G19" s="140" t="n">
        <x:f>'特征汇总'!E17/'特征汇总'!$E$2-1</x:f>
        <x:v>-0.25543395965655924</x:v>
      </x:c>
      <x:c r="H19" s="136" t="n">
        <x:f>'特征汇总'!F17/1000</x:f>
        <x:v>22.23499617386749</x:v>
      </x:c>
      <x:c r="I19" s="140" t="n">
        <x:f>'特征汇总'!F17/'特征汇总'!$F$2-1</x:f>
        <x:v>-0.31021262981882936</x:v>
      </x:c>
      <x:c r="J19" s="136" t="n">
        <x:f>'特征汇总'!T17*1000</x:f>
        <x:v>86.37577397846884</x:v>
      </x:c>
      <x:c r="K19" s="144" t="n">
        <x:f>1-'特征汇总'!T17/'特征汇总'!$T$2</x:f>
        <x:v>0.3089808921692947</x:v>
      </x:c>
    </x:row>
    <x:row r="20">
      <x:c r="A20" s="42" t="str">
        <x:f>'特征汇总'!A18</x:f>
        <x:v>CASE_610_CP_M2</x:v>
      </x:c>
      <x:c r="B20" s="125" t="str">
        <x:f>'特征汇总'!B18</x:f>
        <x:v>Cp</x:v>
      </x:c>
      <x:c r="C20" s="125" t="str">
        <x:f>'特征汇总'!C18</x:f>
        <x:v>-2%</x:v>
      </x:c>
      <x:c r="D20" s="132" t="n">
        <x:f>'特征汇总'!D18/1000000</x:f>
        <x:v>0.89845</x:v>
      </x:c>
      <x:c r="E20" s="136" t="n">
        <x:f>('特征汇总'!D18-'特征汇总'!$D$2)/1000</x:f>
        <x:v>-1.7</x:v>
      </x:c>
      <x:c r="F20" s="136" t="n">
        <x:f>'特征汇总'!E18*1000</x:f>
        <x:v>124.22819636509666</x:v>
      </x:c>
      <x:c r="G20" s="140" t="n">
        <x:f>'特征汇总'!E18/'特征汇总'!$E$2-1</x:f>
        <x:v>-0.006239861152716908</x:v>
      </x:c>
      <x:c r="H20" s="136" t="n">
        <x:f>'特征汇总'!F18/1000</x:f>
        <x:v>31.749590322379603</x:v>
      </x:c>
      <x:c r="I20" s="140" t="n">
        <x:f>'特征汇总'!F18/'特征汇总'!$F$2-1</x:f>
        <x:v>-0.01504519085354672</x:v>
      </x:c>
      <x:c r="J20" s="136" t="n">
        <x:f>'特征汇总'!T18*1000</x:f>
        <x:v>123.1981741703428</x:v>
      </x:c>
      <x:c r="K20" s="144" t="n">
        <x:f>1-'特征汇总'!T18/'特征汇总'!$T$2</x:f>
        <x:v>0.014396184481272445</x:v>
      </x:c>
    </x:row>
    <x:row r="21">
      <x:c r="A21" s="42" t="str">
        <x:f>'特征汇总'!A19</x:f>
        <x:v>CASE_620_CP_M5</x:v>
      </x:c>
      <x:c r="B21" s="125" t="str">
        <x:f>'特征汇总'!B19</x:f>
        <x:v>Cp</x:v>
      </x:c>
      <x:c r="C21" s="125" t="str">
        <x:f>'特征汇总'!C19</x:f>
        <x:v>-5%</x:v>
      </x:c>
      <x:c r="D21" s="132" t="n">
        <x:f>'特征汇总'!D19/1000000</x:f>
        <x:v>0.89735</x:v>
      </x:c>
      <x:c r="E21" s="136" t="n">
        <x:f>('特征汇总'!D19-'特征汇总'!$D$2)/1000</x:f>
        <x:v>-2.8</x:v>
      </x:c>
      <x:c r="F21" s="136" t="n">
        <x:f>'特征汇总'!E19*1000</x:f>
        <x:v>117.76105667296726</x:v>
      </x:c>
      <x:c r="G21" s="140" t="n">
        <x:f>'特征汇总'!E19/'特征汇总'!$E$2-1</x:f>
        <x:v>-0.05797357239092482</x:v>
      </x:c>
      <x:c r="H21" s="136" t="n">
        <x:f>'特征汇总'!F19/1000</x:f>
        <x:v>28.021538957631797</x:v>
      </x:c>
      <x:c r="I21" s="140" t="n">
        <x:f>'特征汇总'!F19/'特征汇总'!$F$2-1</x:f>
        <x:v>-0.13069903341242417</x:v>
      </x:c>
      <x:c r="J21" s="136" t="n">
        <x:f>'特征汇总'!T19*1000</x:f>
        <x:v>113.53669720341838</x:v>
      </x:c>
      <x:c r="K21" s="144" t="n">
        <x:f>1-'特征汇总'!T19/'特征汇总'!$T$2</x:f>
        <x:v>0.09168944492343323</x:v>
      </x:c>
    </x:row>
    <x:row r="22">
      <x:c r="A22" s="42" t="str">
        <x:f>'特征汇总'!A20</x:f>
        <x:v>CASE_630_CP_M10</x:v>
      </x:c>
      <x:c r="B22" s="125" t="str">
        <x:f>'特征汇总'!B20</x:f>
        <x:v>Cp</x:v>
      </x:c>
      <x:c r="C22" s="125" t="str">
        <x:f>'特征汇总'!C20</x:f>
        <x:v>-10%</x:v>
      </x:c>
      <x:c r="D22" s="132" t="n">
        <x:f>'特征汇总'!D20/1000000</x:f>
        <x:v>0.8973</x:v>
      </x:c>
      <x:c r="E22" s="136" t="n">
        <x:f>('特征汇总'!D20-'特征汇总'!$D$2)/1000</x:f>
        <x:v>-2.85</x:v>
      </x:c>
      <x:c r="F22" s="136" t="n">
        <x:f>'特征汇总'!E20*1000</x:f>
        <x:v>93.65039070372984</x:v>
      </x:c>
      <x:c r="G22" s="140" t="n">
        <x:f>'特征汇总'!E20/'特征汇总'!$E$2-1</x:f>
        <x:v>-0.2508462008469694</x:v>
      </x:c>
      <x:c r="H22" s="136" t="n">
        <x:f>'特征汇总'!F20/1000</x:f>
        <x:v>21.72668812669837</x:v>
      </x:c>
      <x:c r="I22" s="140" t="n">
        <x:f>'特征汇总'!F20/'特征汇总'!$F$2-1</x:f>
        <x:v>-0.3259816665372075</x:v>
      </x:c>
      <x:c r="J22" s="136" t="n">
        <x:f>'特征汇总'!T20*1000</x:f>
        <x:v>88.23449426482088</x:v>
      </x:c>
      <x:c r="K22" s="144" t="n">
        <x:f>1-'特征汇总'!T20/'特征汇总'!$T$2</x:f>
        <x:v>0.2941108519390099</x:v>
      </x:c>
    </x:row>
    <x:row r="23">
      <x:c r="A23" s="42" t="str">
        <x:f>'特征汇总'!A21</x:f>
        <x:v>CASE_720_Q50</x:v>
      </x:c>
      <x:c r="B23" s="125" t="str">
        <x:f>'特征汇总'!B21</x:f>
        <x:v>电感Q</x:v>
      </x:c>
      <x:c r="C23" s="125" t="str">
        <x:f>'特征汇总'!C21</x:f>
        <x:v>Q=50</x:v>
      </x:c>
      <x:c r="D23" s="132" t="n">
        <x:f>'特征汇总'!D21/1000000</x:f>
        <x:v>0.90025</x:v>
      </x:c>
      <x:c r="E23" s="136" t="n">
        <x:f>('特征汇总'!D21-'特征汇总'!$D$2)/1000</x:f>
        <x:v>0.1</x:v>
      </x:c>
      <x:c r="F23" s="136" t="n">
        <x:f>'特征汇总'!E21*1000</x:f>
        <x:v>110.04981816321869</x:v>
      </x:c>
      <x:c r="G23" s="140" t="n">
        <x:f>'特征汇总'!E21/'特征汇总'!$E$2-1</x:f>
        <x:v>-0.11965941889239828</x:v>
      </x:c>
      <x:c r="H23" s="136" t="n">
        <x:f>'特征汇总'!F21/1000</x:f>
        <x:v>30.37638584107964</x:v>
      </x:c>
      <x:c r="I23" s="140" t="n">
        <x:f>'特征汇总'!F21/'特征汇总'!$F$2-1</x:f>
        <x:v>-0.05764556282888156</x:v>
      </x:c>
      <x:c r="J23" s="136" t="n">
        <x:f>'特征汇总'!T21*1000</x:f>
        <x:v>110.02248188445205</x:v>
      </x:c>
      <x:c r="K23" s="144" t="n">
        <x:f>1-'特征汇总'!T21/'特征汇总'!$T$2</x:f>
        <x:v>0.11980369296527948</x:v>
      </x:c>
    </x:row>
    <x:row r="24">
      <x:c r="A24" s="43" t="str">
        <x:f>'特征汇总'!A22</x:f>
        <x:v>CASE_730_Q20</x:v>
      </x:c>
      <x:c r="B24" s="126" t="str">
        <x:f>'特征汇总'!B22</x:f>
        <x:v>电感Q</x:v>
      </x:c>
      <x:c r="C24" s="126" t="str">
        <x:f>'特征汇总'!C22</x:f>
        <x:v>Q=20</x:v>
      </x:c>
      <x:c r="D24" s="133" t="n">
        <x:f>'特征汇总'!D22/1000000</x:f>
        <x:v>0.9004</x:v>
      </x:c>
      <x:c r="E24" s="137" t="n">
        <x:f>('特征汇总'!D22-'特征汇总'!$D$2)/1000</x:f>
        <x:v>0.25</x:v>
      </x:c>
      <x:c r="F24" s="137" t="n">
        <x:f>'特征汇总'!E22*1000</x:f>
        <x:v>78.35317671119589</x:v>
      </x:c>
      <x:c r="G24" s="141" t="n">
        <x:f>'特征汇总'!E22/'特征汇总'!$E$2-1</x:f>
        <x:v>-0.3732158556113385</x:v>
      </x:c>
      <x:c r="H24" s="137" t="n">
        <x:f>'特征汇总'!F22/1000</x:f>
        <x:v>26.517270907031723</x:v>
      </x:c>
      <x:c r="I24" s="141" t="n">
        <x:f>'特征汇总'!F22/'特征汇总'!$F$2-1</x:f>
        <x:v>-0.17736533794232967</x:v>
      </x:c>
      <x:c r="J24" s="137" t="n">
        <x:f>'特征汇总'!T22*1000</x:f>
        <x:v>78.29332289490564</x:v>
      </x:c>
      <x:c r="K24" s="145" t="n">
        <x:f>1-'特征汇总'!T22/'特征汇总'!$T$2</x:f>
        <x:v>0.37364170942855746</x:v>
      </x:c>
    </x:row>
  </x:sheetData>
  <x:mergeCells>
    <x:mergeCell ref="A1:K1"/>
  </x:mergeCells>
  <x:pageMargins left="0.7" right="0.7" top="0.75" bottom="0.75" header="0.3" footer="0.3"/>
</x:worksheet>
</file>